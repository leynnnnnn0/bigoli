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49b1ee733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3a9fa697a174360"/>
    <x:sheet xmlns:r="http://schemas.openxmlformats.org/officeDocument/2006/relationships" name="UAT" sheetId="2" r:id="Rb744f94743354a72"/>
    <x:sheet xmlns:r="http://schemas.openxmlformats.org/officeDocument/2006/relationships" name="QC" sheetId="3" r:id="Rdd5204b6cf8a4b3e"/>
    <x:sheet xmlns:r="http://schemas.openxmlformats.org/officeDocument/2006/relationships" name="Defects" sheetId="4" r:id="R1945fdc30dcf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1">
    <x:font>
      <x:sz val="11"/>
      <x:name val="Carlito"/>
    </x:font>
    <x:font>
      <x:sz val="10"/>
      <x:color rgb="FF263445"/>
      <x:name val="Arial"/>
    </x:font>
    <x:font>
      <x:b/>
      <x:sz val="16"/>
      <x:color rgb="FF263445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0"/>
      <x:color rgb="FF283F59"/>
      <x:name val="Arial"/>
    </x:font>
    <x:font>
      <x:sz val="10"/>
      <x:color rgb="FF263445"/>
      <x:name val="Times New Roman"/>
    </x:font>
    <x:font>
      <x:b/>
      <x:sz val="16"/>
      <x:color rgb="FF263445"/>
      <x:name val="Times New Roman"/>
    </x:font>
    <x:font>
      <x:b/>
      <x:sz val="10"/>
      <x:color rgb="FF283F59"/>
      <x:name val="Times New Roman"/>
    </x:font>
    <x:font>
      <x:b/>
      <x:sz val="10"/>
      <x:color rgb="FFFFFFFF"/>
      <x:name val="Times New Roman"/>
    </x:font>
    <x:font>
      <x:sz val="10"/>
      <x:color rgb="FF333333"/>
      <x:name val="Times New Roman"/>
    </x:font>
    <x:font>
      <x:b/>
      <x:sz val="16"/>
      <x:color rgb="FF333333"/>
      <x:name val="Times New Roman"/>
    </x:font>
    <x:font>
      <x:b/>
      <x:sz val="10"/>
      <x:color rgb="FF333333"/>
      <x:name val="Times New Roman"/>
    </x:font>
    <x:font>
      <x:b/>
      <x:sz val="16"/>
      <x:color rgb="FF008C45"/>
      <x:name val="Times New Roman"/>
    </x:font>
    <x:font>
      <x:i/>
      <x:sz val="10"/>
      <x:color rgb="FF667085"/>
      <x:name val="Times New Roman"/>
    </x:font>
    <x:font>
      <x:i/>
      <x:sz val="10"/>
      <x:color rgb="FF333333"/>
      <x:name val="Times New Roman"/>
    </x:font>
    <x:font>
      <x:b/>
      <x:sz val="10"/>
      <x:color rgb="FF008C45"/>
      <x:name val="Times New Roman"/>
    </x:font>
    <x:font>
      <x:sz val="10"/>
      <x:color rgb="FF000000"/>
      <x:name val="Times New Roman"/>
    </x:font>
    <x:font>
      <x:b/>
      <x:sz val="16"/>
      <x:color rgb="FF000000"/>
      <x:name val="Times New Roman"/>
    </x:font>
    <x:font>
      <x:b/>
      <x:sz val="10"/>
      <x:color rgb="FF000000"/>
      <x:name val="Times New Roman"/>
    </x:font>
    <x:font>
      <x:i/>
      <x:sz val="10"/>
      <x:color rgb="FF000000"/>
      <x:name val="Times New Roman"/>
    </x:font>
  </x:fonts>
  <x:fills count="10">
    <x:fill>
      <x:patternFill patternType="none"/>
    </x:fill>
    <x:fill>
      <x:patternFill patternType="gray125"/>
    </x:fill>
    <x:fill>
      <x:patternFill patternType="solid">
        <x:fgColor rgb="FF283F59"/>
      </x:patternFill>
    </x:fill>
    <x:fill>
      <x:patternFill patternType="solid">
        <x:fgColor rgb="FFFFF5D6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FFF8F0"/>
      </x:patternFill>
    </x:fill>
    <x:fill>
      <x:patternFill patternType="solid">
        <x:fgColor rgb="FF008C4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/>
    </x:xf>
    <x:xf numFmtId="200" fontId="6" fillId="3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/>
    </x:xf>
    <x:xf numFmtId="200" fontId="10" fillId="3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200" fontId="10" fillId="4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200" fontId="10" fillId="5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1"/>
    </x:xf>
    <x:xf numFmtId="200" fontId="10" fillId="6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vertical="top"/>
    </x:xf>
    <x:xf numFmtId="0" fontId="18" fillId="0" borderId="0" xfId="0" applyNumberFormat="1" applyFont="1" applyFill="1" applyBorder="1" applyAlignment="1">
      <x:alignment vertical="top"/>
    </x:xf>
    <x:xf numFmtId="0" fontId="19" fillId="0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vertical="top" wrapText="1"/>
    </x:xf>
    <x:xf numFmtId="0" fontId="19" fillId="7" borderId="0" xfId="0" applyNumberFormat="1" applyFont="1" applyFill="1" applyBorder="1" applyAlignment="1">
      <x:alignment horizontal="center" vertical="center" wrapText="1"/>
    </x:xf>
    <x:xf numFmtId="0" fontId="17" fillId="0" borderId="1" xfId="0" applyNumberFormat="1" applyFont="1" applyFill="1" applyBorder="1" applyAlignment="1">
      <x:alignment vertical="top"/>
    </x:xf>
    <x:xf numFmtId="0" fontId="18" fillId="0" borderId="1" xfId="0" applyNumberFormat="1" applyFont="1" applyFill="1" applyBorder="1" applyAlignment="1">
      <x:alignment vertical="top"/>
    </x:xf>
    <x:xf numFmtId="0" fontId="19" fillId="0" borderId="1" xfId="0" applyNumberFormat="1" applyFont="1" applyFill="1" applyBorder="1" applyAlignment="1">
      <x:alignment vertical="top" wrapText="1"/>
    </x:xf>
    <x:xf numFmtId="0" fontId="17" fillId="0" borderId="1" xfId="0" applyNumberFormat="1" applyFont="1" applyFill="1" applyBorder="1" applyAlignment="1">
      <x:alignment vertical="top" wrapText="1"/>
    </x:xf>
    <x:xf numFmtId="0" fontId="17" fillId="6" borderId="1" xfId="0" applyNumberFormat="1" applyFont="1" applyFill="1" applyBorder="1" applyAlignment="1">
      <x:alignment vertical="top" wrapText="1"/>
    </x:xf>
    <x:xf numFmtId="0" fontId="19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 applyAlignment="1">
      <x:alignment vertical="top"/>
    </x:xf>
    <x:xf numFmtId="0" fontId="17" fillId="5" borderId="0" xfId="0" applyNumberFormat="1" applyFont="1" applyFill="1" applyBorder="1" applyAlignment="1">
      <x:alignment vertical="top" wrapText="1"/>
    </x:xf>
    <x:xf numFmtId="200" fontId="17" fillId="6" borderId="0" xfId="0" applyNumberFormat="1" applyFont="1" applyFill="1" applyBorder="1" applyAlignment="1">
      <x:alignment vertical="top" wrapText="1"/>
    </x:xf>
    <x:xf numFmtId="0" fontId="17" fillId="4" borderId="0" xfId="0" applyNumberFormat="1" applyFont="1" applyFill="1" applyBorder="1" applyAlignment="1">
      <x:alignment vertical="top" wrapText="1"/>
    </x:xf>
    <x:xf numFmtId="0" fontId="20" fillId="0" borderId="1" xfId="0" applyNumberFormat="1" applyFont="1" applyFill="1" applyBorder="1" applyAlignment="1">
      <x:alignment vertical="top"/>
    </x:xf>
    <x:xf numFmtId="0" fontId="17" fillId="5" borderId="1" xfId="0" applyNumberFormat="1" applyFont="1" applyFill="1" applyBorder="1" applyAlignment="1">
      <x:alignment vertical="top" wrapText="1"/>
    </x:xf>
    <x:xf numFmtId="200" fontId="17" fillId="6" borderId="1" xfId="0" applyNumberFormat="1" applyFont="1" applyFill="1" applyBorder="1" applyAlignment="1">
      <x:alignment vertical="top" wrapText="1"/>
    </x:xf>
    <x:xf numFmtId="0" fontId="17" fillId="4" borderId="1" xfId="0" applyNumberFormat="1" applyFont="1" applyFill="1" applyBorder="1" applyAlignment="1">
      <x:alignment vertical="top" wrapText="1"/>
    </x:xf>
    <x:xf numFmtId="0" fontId="19" fillId="8" borderId="1" xfId="0" applyNumberFormat="1" applyFont="1" applyFill="1" applyBorder="1" applyAlignment="1">
      <x:alignment vertical="top" wrapText="1"/>
    </x:xf>
    <x:xf numFmtId="0" fontId="17" fillId="8" borderId="1" xfId="0" applyNumberFormat="1" applyFont="1" applyFill="1" applyBorder="1" applyAlignment="1">
      <x:alignment vertical="top" wrapText="1"/>
    </x:xf>
    <x:xf numFmtId="0" fontId="19" fillId="9" borderId="1" xfId="0" applyNumberFormat="1" applyFont="1" applyFill="1" applyBorder="1" applyAlignment="1">
      <x:alignment vertical="top" wrapText="1"/>
    </x:xf>
    <x:xf numFmtId="0" fontId="17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  <x:color rgb="FF245C3B"/>
      </x:font>
      <x:fill>
        <x:patternFill>
          <x:bgColor rgb="FFE7F3EC"/>
        </x:patternFill>
      </x:fill>
    </x:dxf>
    <x:dxf>
      <x:font>
        <x:b/>
        <x:color rgb="FFA12020"/>
      </x:font>
      <x:fill>
        <x:patternFill>
          <x:bgColor rgb="FFFBE6E4"/>
        </x:patternFill>
      </x:fill>
    </x:dxf>
    <x:dxf>
      <x:font>
        <x:b/>
        <x:color rgb="FF805300"/>
      </x:font>
      <x:fill>
        <x:patternFill>
          <x:bgColor rgb="FFFCECCB"/>
        </x:patternFill>
      </x:fill>
    </x:dxf>
    <x:dxf>
      <x:font>
        <x:b/>
        <x:color rgb="FF245C3B"/>
      </x:font>
      <x:fill>
        <x:patternFill>
          <x:bgColor rgb="FFE7F3EC"/>
        </x:patternFill>
      </x:fill>
    </x:dxf>
    <x:dxf>
      <x:font>
        <x:b/>
        <x:color rgb="FFA12020"/>
      </x:font>
      <x:fill>
        <x:patternFill>
          <x:bgColor rgb="FFFBE6E4"/>
        </x:patternFill>
      </x:fill>
    </x:dxf>
    <x:dxf>
      <x:font>
        <x:b/>
        <x:color rgb="FF805300"/>
      </x:font>
      <x:fill>
        <x:patternFill>
          <x:bgColor rgb="FFFCECCB"/>
        </x:patternFill>
      </x:fill>
    </x:dxf>
    <x:dxf>
      <x:font>
        <x:b/>
        <x:color rgb="FFFFFFFF"/>
      </x:font>
      <x:fill>
        <x:patternFill>
          <x:bgColor rgb="FF008C45"/>
        </x:patternFill>
      </x:fill>
    </x:dxf>
    <x:dxf>
      <x:font>
        <x:b/>
        <x:color rgb="FFFFFFFF"/>
      </x:font>
      <x:fill>
        <x:patternFill>
          <x:bgColor rgb="FFF23940"/>
        </x:patternFill>
      </x:fill>
    </x:dxf>
    <x:dxf>
      <x:font>
        <x:b/>
        <x:color rgb="FFF23940"/>
      </x:font>
      <x:fill>
        <x:patternFill>
          <x:bgColor rgb="FFFFF8F0"/>
        </x:patternFill>
      </x:fill>
    </x:dxf>
    <x:dxf>
      <x:font>
        <x:b/>
        <x:color rgb="FFFFFFFF"/>
      </x:font>
      <x:fill>
        <x:patternFill>
          <x:bgColor rgb="FF008C45"/>
        </x:patternFill>
      </x:fill>
    </x:dxf>
    <x:dxf>
      <x:font>
        <x:b/>
        <x:color rgb="FFFFFFFF"/>
      </x:font>
      <x:fill>
        <x:patternFill>
          <x:bgColor rgb="FFF23940"/>
        </x:patternFill>
      </x:fill>
    </x:dxf>
    <x:dxf>
      <x:font>
        <x:b/>
        <x:color rgb="FFF23940"/>
      </x:font>
      <x:fill>
        <x:patternFill>
          <x:bgColor rgb="FFFFF8F0"/>
        </x:patternFill>
      </x:fill>
    </x:dxf>
    <x:dxf>
      <x:font>
        <x:b/>
        <x:color rgb="FFFFFFFF"/>
      </x:font>
      <x:fill>
        <x:patternFill>
          <x:bgColor rgb="FF008C45"/>
        </x:patternFill>
      </x:fill>
    </x:dxf>
    <x:dxf>
      <x:font>
        <x:b/>
        <x:color rgb="FFFFFFFF"/>
      </x:font>
      <x:fill>
        <x:patternFill>
          <x:bgColor rgb="FFF23940"/>
        </x:patternFill>
      </x:fill>
    </x:dxf>
    <x:dxf>
      <x:font>
        <x:b/>
        <x:color rgb="FF000000"/>
      </x:font>
      <x:fill>
        <x:patternFill>
          <x:bgColor rgb="FFFFF8F0"/>
        </x:patternFill>
      </x:fill>
    </x:dxf>
    <x:dxf>
      <x:font>
        <x:b/>
        <x:color rgb="FFFFFFFF"/>
      </x:font>
      <x:fill>
        <x:patternFill>
          <x:bgColor rgb="FF008C45"/>
        </x:patternFill>
      </x:fill>
    </x:dxf>
    <x:dxf>
      <x:font>
        <x:b/>
        <x:color rgb="FFFFFFFF"/>
      </x:font>
      <x:fill>
        <x:patternFill>
          <x:bgColor rgb="FFF23940"/>
        </x:patternFill>
      </x:fill>
    </x:dxf>
    <x:dxf>
      <x:font>
        <x:b/>
        <x:color rgb="FF000000"/>
      </x:font>
      <x:fill>
        <x:patternFill>
          <x:bgColor rgb="FFFFF8F0"/>
        </x:patternFill>
      </x:fill>
    </x:dxf>
    <x:dxf>
      <x:font>
        <x:b/>
        <x:color rgb="FFFFFFFF"/>
      </x:font>
      <x:fill>
        <x:patternFill>
          <x:bgColor rgb="FF008C45"/>
        </x:patternFill>
      </x:fill>
    </x:dxf>
    <x:dxf>
      <x:font>
        <x:b/>
        <x:color rgb="FFFFFFFF"/>
      </x:font>
      <x:fill>
        <x:patternFill>
          <x:bgColor rgb="FFF23940"/>
        </x:patternFill>
      </x:fill>
    </x:dxf>
    <x:dxf>
      <x:font>
        <x:b/>
        <x:color rgb="FF000000"/>
      </x:font>
      <x:fill>
        <x:patternFill>
          <x:bgColor rgb="FFFFF8F0"/>
        </x:patternFill>
      </x:fill>
    </x:dxf>
    <x:dxf>
      <x:font>
        <x:b/>
        <x:color rgb="FFFFFFFF"/>
      </x:font>
      <x:fill>
        <x:patternFill>
          <x:bgColor rgb="FF008C45"/>
        </x:patternFill>
      </x:fill>
    </x:dxf>
    <x:dxf>
      <x:font>
        <x:b/>
        <x:color rgb="FFFFFFFF"/>
      </x:font>
      <x:fill>
        <x:patternFill>
          <x:bgColor rgb="FFF23940"/>
        </x:patternFill>
      </x:fill>
    </x:dxf>
    <x:dxf>
      <x:font>
        <x:b/>
        <x:color rgb="FF000000"/>
      </x:font>
      <x:fill>
        <x:patternFill>
          <x:bgColor rgb="FFFFF8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5cdca53fd41f4" /><Relationship Type="http://schemas.openxmlformats.org/officeDocument/2006/relationships/theme" Target="/xl/theme/theme1.xml" Id="R2483dc714b8c46de" /><Relationship Type="http://schemas.openxmlformats.org/officeDocument/2006/relationships/sharedStrings" Target="/xl/sharedStrings.xml" Id="Rf010d3c17a7c471d" /><Relationship Type="http://schemas.openxmlformats.org/officeDocument/2006/relationships/worksheet" Target="/xl/worksheets/sheet1.xml" Id="Rc3a9fa697a174360" /><Relationship Type="http://schemas.openxmlformats.org/officeDocument/2006/relationships/worksheet" Target="/xl/worksheets/sheet2.xml" Id="Rb744f94743354a72" /><Relationship Type="http://schemas.openxmlformats.org/officeDocument/2006/relationships/worksheet" Target="/xl/worksheets/sheet3.xml" Id="Rdd5204b6cf8a4b3e" /><Relationship Type="http://schemas.openxmlformats.org/officeDocument/2006/relationships/worksheet" Target="/xl/worksheets/sheet4.xml" Id="R1945fdc30dcf4685" /></Relationships>
</file>

<file path=xl/tables/table1.xml><?xml version="1.0" encoding="utf-8"?>
<x:table xmlns:x="http://schemas.openxmlformats.org/spreadsheetml/2006/main" id="4" name="UATCases" displayName="UATCases" ref="A5:N25" headerRowCount="1" totalsRowCount="0" totalsRowShown="0">
  <x:tableColumns count="14">
    <x:tableColumn id="1" name="Test ID"/>
    <x:tableColumn id="2" name="Module"/>
    <x:tableColumn id="3" name="Scenario / objective"/>
    <x:tableColumn id="4" name="Priority"/>
    <x:tableColumn id="5" name="Tester role"/>
    <x:tableColumn id="6" name="Preconditions"/>
    <x:tableColumn id="7" name="Test data"/>
    <x:tableColumn id="8" name="Test steps"/>
    <x:tableColumn id="9" name="Expected result"/>
    <x:tableColumn id="10" name="Actual result"/>
    <x:tableColumn id="11" name="Status"/>
    <x:tableColumn id="12" name="Executed by"/>
    <x:tableColumn id="13" name="Executed on"/>
    <x:tableColumn id="14" name="Defect ID / eviden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5" name="QCCases" displayName="QCCases" ref="A5:N44" headerRowCount="1" totalsRowCount="0" totalsRowShown="0">
  <x:tableColumns count="14">
    <x:tableColumn id="1" name="Test ID"/>
    <x:tableColumn id="2" name="Module"/>
    <x:tableColumn id="3" name="Scenario / objective"/>
    <x:tableColumn id="4" name="Priority"/>
    <x:tableColumn id="5" name="Tester role"/>
    <x:tableColumn id="6" name="Preconditions"/>
    <x:tableColumn id="7" name="Test data"/>
    <x:tableColumn id="8" name="Test steps"/>
    <x:tableColumn id="9" name="Expected result"/>
    <x:tableColumn id="10" name="Actual result"/>
    <x:tableColumn id="11" name="Status"/>
    <x:tableColumn id="12" name="Executed by"/>
    <x:tableColumn id="13" name="Executed on"/>
    <x:tableColumn id="14" name="Defect ID / evidenc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efectLog" displayName="DefectLog" ref="A5:L25" headerRowCount="1" totalsRowCount="0" totalsRowShown="0">
  <x:tableColumns count="12">
    <x:tableColumn id="1" name="Defect ID"/>
    <x:tableColumn id="2" name="Test IDs"/>
    <x:tableColumn id="3" name="Title"/>
    <x:tableColumn id="4" name="Severity"/>
    <x:tableColumn id="5" name="Steps / data"/>
    <x:tableColumn id="6" name="Expected"/>
    <x:tableColumn id="7" name="Actual"/>
    <x:tableColumn id="8" name="Evidence link"/>
    <x:tableColumn id="9" name="Owner"/>
    <x:tableColumn id="10" name="State"/>
    <x:tableColumn id="11" name="Fix build"/>
    <x:tableColumn id="12" name="Retest result / date /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b00722ee5f4a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339f85e35345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86cf019fc64d31" /></Relationships>
</file>

<file path=xl/worksheets/sheet1.xml><?xml version="1.0" encoding="utf-8"?>
<x:worksheet xmlns:x="http://schemas.openxmlformats.org/spreadsheetml/2006/main">
  <x:sheetPr>
    <x:tabColor rgb="FF008C45"/>
  </x:sheetPr>
  <x:sheetViews>
    <x:sheetView showGridLines="0" workbookViewId="0"/>
  </x:sheetViews>
  <x:sheetFormatPr defaultRowHeight="15"/>
  <x:cols>
    <x:col min="1" max="1" width="29" hidden="0" customWidth="1"/>
    <x:col min="2" max="2" width="10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0"/>
      <x:c r="B1" s="50"/>
      <x:c r="C1" s="50"/>
      <x:c r="D1" s="50"/>
      <x:c r="E1" s="50"/>
      <x:c r="F1" s="50"/>
      <x:c r="G1" s="50"/>
      <x:c r="H1" s="50"/>
    </x:row>
    <x:row r="2" ht="27" customHeight="1">
      <x:c r="A2" s="51" t="str">
        <x:v>Bigoli | UAT &amp; QC test scripts</x:v>
      </x:c>
      <x:c r="B2" s="50"/>
      <x:c r="C2" s="50"/>
      <x:c r="D2" s="50"/>
      <x:c r="E2" s="50"/>
      <x:c r="F2" s="50"/>
      <x:c r="G2" s="50"/>
      <x:c r="H2" s="50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 ht="28" customHeight="1">
      <x:c r="A4" s="67" t="str">
        <x:v>Customer portal</x:v>
      </x:c>
      <x:c r="B4" s="68" t="str">
        <x:v>dev-rewards.bigoli.ph</x:v>
      </x:c>
      <x:c r="C4" s="50"/>
      <x:c r="D4" s="50"/>
      <x:c r="E4" s="50"/>
      <x:c r="F4" s="50"/>
      <x:c r="G4" s="50"/>
      <x:c r="H4" s="50"/>
    </x:row>
    <x:row r="5" ht="28" customHeight="1">
      <x:c r="A5" s="67" t="str">
        <x:v>Admin portal</x:v>
      </x:c>
      <x:c r="B5" s="68" t="str">
        <x:v>dev-admin-rewards.bigoli.ph</x:v>
      </x:c>
      <x:c r="C5" s="50"/>
      <x:c r="D5" s="50"/>
      <x:c r="E5" s="50"/>
      <x:c r="F5" s="50"/>
      <x:c r="G5" s="50"/>
      <x:c r="H5" s="50"/>
    </x:row>
    <x:row r="6" ht="28" customHeight="1">
      <x:c r="A6" s="67" t="str">
        <x:v>Store / Staff portal</x:v>
      </x:c>
      <x:c r="B6" s="68" t="str">
        <x:v>dev-store-rewards.bigoli.ph</x:v>
      </x:c>
      <x:c r="C6" s="50"/>
      <x:c r="D6" s="50"/>
      <x:c r="E6" s="50"/>
      <x:c r="F6" s="50"/>
      <x:c r="G6" s="50"/>
      <x:c r="H6" s="50"/>
    </x:row>
    <x:row r="7" ht="5" customHeight="1">
      <x:c r="A7"/>
      <x:c r="B7"/>
      <x:c r="C7"/>
      <x:c r="D7"/>
      <x:c r="E7"/>
      <x:c r="F7"/>
      <x:c r="G7"/>
      <x:c r="H7"/>
    </x:row>
    <x:row r="8" ht="5" customHeight="1">
      <x:c r="A8"/>
      <x:c r="B8"/>
      <x:c r="C8"/>
      <x:c r="D8"/>
      <x:c r="E8"/>
      <x:c r="F8"/>
      <x:c r="G8"/>
      <x:c r="H8"/>
    </x:row>
    <x:row r="9" ht="5" customHeight="1">
      <x:c r="A9"/>
      <x:c r="B9"/>
      <x:c r="C9"/>
      <x:c r="D9"/>
      <x:c r="E9"/>
      <x:c r="F9"/>
      <x:c r="G9"/>
      <x:c r="H9"/>
    </x:row>
    <x:row r="10" ht="5" customHeight="1">
      <x:c r="A10"/>
      <x:c r="B10"/>
      <x:c r="C10"/>
      <x:c r="D10"/>
      <x:c r="E10"/>
      <x:c r="F10"/>
      <x:c r="G10"/>
      <x:c r="H10"/>
    </x:row>
    <x:row r="11" ht="5" customHeight="1">
      <x:c r="A11"/>
      <x:c r="B11"/>
      <x:c r="C11"/>
      <x:c r="D11"/>
      <x:c r="E11"/>
      <x:c r="F11"/>
      <x:c r="G11"/>
      <x:c r="H11"/>
    </x:row>
    <x:row r="12" ht="5" customHeight="1">
      <x:c r="A12"/>
      <x:c r="B12"/>
      <x:c r="C12"/>
      <x:c r="D12"/>
      <x:c r="E12"/>
      <x:c r="F12"/>
      <x:c r="G12"/>
      <x:c r="H12"/>
    </x:row>
    <x:row r="13" ht="5" customHeight="1">
      <x:c r="A13"/>
      <x:c r="B13"/>
      <x:c r="C13"/>
      <x:c r="D13"/>
      <x:c r="E13"/>
      <x:c r="F13"/>
      <x:c r="G13"/>
      <x:c r="H13"/>
    </x:row>
    <x:row r="14" ht="5" customHeight="1">
      <x:c r="A14"/>
      <x:c r="B14"/>
      <x:c r="C14"/>
      <x:c r="D14"/>
      <x:c r="E14"/>
      <x:c r="F14"/>
      <x:c r="G14"/>
      <x:c r="H14"/>
    </x:row>
    <x:row r="15" ht="32" customHeight="1">
      <x:c r="A15" s="56" t="str">
        <x:v>Suite</x:v>
      </x:c>
      <x:c r="B15" s="56" t="str">
        <x:v>Total</x:v>
      </x:c>
      <x:c r="C15" s="56" t="str">
        <x:v>Pass</x:v>
      </x:c>
      <x:c r="D15" s="56" t="str">
        <x:v>Fail</x:v>
      </x:c>
      <x:c r="E15" s="56" t="str">
        <x:v>Blocked</x:v>
      </x:c>
      <x:c r="F15" s="56" t="str">
        <x:v>Not Tested</x:v>
      </x:c>
      <x:c r="G15" s="56" t="str">
        <x:v>Not Applicable</x:v>
      </x:c>
      <x:c r="H15" s="50"/>
    </x:row>
    <x:row r="16">
      <x:c r="A16" s="52" t="str">
        <x:v>UAT</x:v>
      </x:c>
      <x:c r="B16" s="53" t="n">
        <x:f>COUNTA('UAT'!A6:A25)</x:f>
        <x:v>20</x:v>
      </x:c>
      <x:c r="C16" s="53" t="n">
        <x:f>COUNTIFS('UAT'!K6:K25,"Pass")</x:f>
        <x:v>0</x:v>
      </x:c>
      <x:c r="D16" s="53" t="n">
        <x:f>COUNTIFS('UAT'!K6:K25,"Fail")</x:f>
        <x:v>0</x:v>
      </x:c>
      <x:c r="E16" s="53" t="n">
        <x:f>COUNTIFS('UAT'!K6:K25,"Blocked")</x:f>
        <x:v>0</x:v>
      </x:c>
      <x:c r="F16" s="53" t="n">
        <x:f>COUNTIFS('UAT'!K6:K25,"Not Tested")</x:f>
        <x:v>20</x:v>
      </x:c>
      <x:c r="G16" s="53" t="n">
        <x:f>COUNTIFS('UAT'!K6:K25,"Not Applicable")</x:f>
        <x:v>0</x:v>
      </x:c>
      <x:c r="H16" s="50"/>
    </x:row>
    <x:row r="17">
      <x:c r="A17" s="52" t="str">
        <x:v>QC</x:v>
      </x:c>
      <x:c r="B17" s="53" t="n">
        <x:f>COUNTA('QC'!A6:A44)</x:f>
        <x:v>39</x:v>
      </x:c>
      <x:c r="C17" s="53" t="n">
        <x:f>COUNTIFS('QC'!K6:K44,"Pass")</x:f>
        <x:v>0</x:v>
      </x:c>
      <x:c r="D17" s="53" t="n">
        <x:f>COUNTIFS('QC'!K6:K44,"Fail")</x:f>
        <x:v>0</x:v>
      </x:c>
      <x:c r="E17" s="53" t="n">
        <x:f>COUNTIFS('QC'!K6:K44,"Blocked")</x:f>
        <x:v>0</x:v>
      </x:c>
      <x:c r="F17" s="53" t="n">
        <x:f>COUNTIFS('QC'!K6:K44,"Not Tested")</x:f>
        <x:v>39</x:v>
      </x:c>
      <x:c r="G17" s="53" t="n">
        <x:f>COUNTIFS('QC'!K6:K44,"Not Applicable")</x:f>
        <x:v>0</x:v>
      </x:c>
      <x:c r="H17" s="50"/>
    </x:row>
    <x:row r="18" ht="28" customHeight="1">
      <x:c r="A18" s="52"/>
      <x:c r="B18" s="53"/>
      <x:c r="C18" s="50"/>
      <x:c r="D18" s="50"/>
      <x:c r="E18" s="50"/>
      <x:c r="F18" s="50"/>
      <x:c r="G18" s="50"/>
      <x:c r="H18" s="50"/>
    </x:row>
    <x:row r="19" ht="42" customHeight="1">
      <x:c r="A19"/>
      <x:c r="B19"/>
      <x:c r="C19"/>
      <x:c r="D19"/>
      <x:c r="E19"/>
      <x:c r="F19"/>
      <x:c r="G19"/>
      <x:c r="H19"/>
    </x:row>
    <x:row r="20" ht="28" customHeight="1">
      <x:c r="A20"/>
      <x:c r="B20"/>
      <x:c r="C20"/>
      <x:c r="D20"/>
      <x:c r="E20"/>
      <x:c r="F20"/>
      <x:c r="G20"/>
      <x:c r="H20"/>
    </x:row>
    <x:row r="21" ht="28" customHeight="1">
      <x:c r="A21"/>
      <x:c r="B21"/>
      <x:c r="C21"/>
      <x:c r="D21"/>
      <x:c r="E21"/>
      <x:c r="F21"/>
      <x:c r="G21"/>
      <x:c r="H21"/>
    </x:row>
    <x:row r="22" ht="42" customHeight="1">
      <x:c r="A22"/>
      <x:c r="B22"/>
      <x:c r="C22"/>
      <x:c r="D22"/>
      <x:c r="E22"/>
      <x:c r="F22"/>
      <x:c r="G22"/>
      <x:c r="H22"/>
    </x:row>
    <x:row r="23" ht="42" customHeight="1">
      <x:c r="A23"/>
      <x:c r="B23"/>
      <x:c r="C23"/>
      <x:c r="D23"/>
      <x:c r="E23"/>
      <x:c r="F23"/>
      <x:c r="G23"/>
      <x:c r="H23"/>
    </x:row>
    <x:row r="24" ht="42" customHeight="1">
      <x:c r="A24"/>
      <x:c r="B24"/>
      <x:c r="C24"/>
      <x:c r="D24"/>
      <x:c r="E24"/>
      <x:c r="F24"/>
      <x:c r="G24"/>
      <x:c r="H24"/>
    </x:row>
    <x:row r="25" ht="42" customHeight="1">
      <x:c r="A25"/>
      <x:c r="B25"/>
      <x:c r="C25"/>
      <x:c r="D25"/>
      <x:c r="E25"/>
      <x:c r="F25"/>
      <x:c r="G25"/>
      <x:c r="H25"/>
    </x:row>
    <x:row r="26" ht="42" customHeight="1">
      <x:c r="A26"/>
      <x:c r="B26"/>
      <x:c r="C26"/>
      <x:c r="D26"/>
      <x:c r="E26"/>
      <x:c r="F26"/>
      <x:c r="G26"/>
      <x:c r="H26"/>
    </x:row>
    <x:row r="27" ht="57" customHeight="1">
      <x:c r="A27"/>
      <x:c r="B27"/>
      <x:c r="C27"/>
      <x:c r="D27"/>
      <x:c r="E27"/>
      <x:c r="F27"/>
      <x:c r="G27"/>
      <x:c r="H27"/>
    </x:row>
    <x:row r="28" ht="57" customHeight="1">
      <x:c r="A28"/>
      <x:c r="B28"/>
      <x:c r="C28"/>
      <x:c r="D28"/>
      <x:c r="E28"/>
      <x:c r="F28"/>
      <x:c r="G28"/>
      <x:c r="H28"/>
    </x:row>
    <x:row r="29" ht="42" customHeight="1">
      <x:c r="A29"/>
      <x:c r="B29"/>
      <x:c r="C29"/>
      <x:c r="D29"/>
      <x:c r="E29"/>
      <x:c r="F29"/>
      <x:c r="G29"/>
      <x:c r="H29"/>
    </x:row>
    <x:row r="30" ht="57" customHeight="1">
      <x:c r="A30"/>
      <x:c r="B30"/>
      <x:c r="C30"/>
      <x:c r="D30"/>
      <x:c r="E30"/>
      <x:c r="F30"/>
      <x:c r="G30"/>
      <x:c r="H30"/>
    </x:row>
    <x:row r="31" ht="57" customHeight="1">
      <x:c r="A31"/>
      <x:c r="B31"/>
      <x:c r="C31"/>
      <x:c r="D31"/>
      <x:c r="E31"/>
      <x:c r="F31"/>
      <x:c r="G31"/>
      <x:c r="H31"/>
    </x:row>
    <x:row r="32" ht="28" customHeight="1">
      <x:c r="A32"/>
      <x:c r="B32"/>
      <x:c r="C32"/>
      <x:c r="D32"/>
      <x:c r="E32"/>
      <x:c r="F32"/>
      <x:c r="G32"/>
      <x:c r="H32"/>
    </x:row>
    <x:row r="33" ht="42" customHeight="1">
      <x:c r="A33"/>
      <x:c r="B33"/>
      <x:c r="C33"/>
      <x:c r="D33"/>
      <x:c r="E33"/>
      <x:c r="F33"/>
      <x:c r="G33"/>
      <x:c r="H33"/>
    </x:row>
    <x:row r="34" ht="28" customHeight="1">
      <x:c r="A34"/>
      <x:c r="B34"/>
      <x:c r="C34"/>
      <x:c r="D34"/>
      <x:c r="E34"/>
      <x:c r="F34"/>
      <x:c r="G34"/>
      <x:c r="H34"/>
    </x:row>
    <x:row r="35" ht="28" customHeight="1">
      <x:c r="A35"/>
      <x:c r="B35"/>
      <x:c r="C35"/>
      <x:c r="D35"/>
      <x:c r="E35"/>
      <x:c r="F35"/>
      <x:c r="G35"/>
      <x:c r="H35"/>
    </x:row>
    <x:row r="36" ht="28" customHeight="1">
      <x:c r="A36"/>
      <x:c r="B36"/>
      <x:c r="C36"/>
      <x:c r="D36"/>
      <x:c r="E36"/>
      <x:c r="F36"/>
      <x:c r="G36"/>
      <x:c r="H36"/>
    </x:row>
    <x:row r="37" ht="28" customHeight="1">
      <x:c r="A37"/>
      <x:c r="B37"/>
      <x:c r="C37"/>
      <x:c r="D37"/>
      <x:c r="E37"/>
      <x:c r="F37"/>
      <x:c r="G37"/>
      <x:c r="H37"/>
    </x:row>
    <x:row r="38" ht="28" customHeight="1">
      <x:c r="A38"/>
      <x:c r="B38"/>
      <x:c r="C38"/>
      <x:c r="D38"/>
      <x:c r="E38"/>
      <x:c r="F38"/>
      <x:c r="G38"/>
      <x:c r="H38"/>
    </x:row>
    <x:row r="39" ht="28" customHeight="1">
      <x:c r="A39"/>
      <x:c r="B39"/>
      <x:c r="C39"/>
      <x:c r="D39"/>
      <x:c r="E39"/>
      <x:c r="F39"/>
      <x:c r="G39"/>
      <x:c r="H39"/>
    </x:row>
    <x:row r="40" ht="42" customHeight="1">
      <x:c r="A40"/>
      <x:c r="B40"/>
      <x:c r="C40"/>
      <x:c r="D40"/>
      <x:c r="E40"/>
      <x:c r="F40"/>
      <x:c r="G40"/>
      <x:c r="H40"/>
    </x:row>
    <x:row r="41" ht="42" customHeight="1">
      <x:c r="A41"/>
      <x:c r="B41"/>
      <x:c r="C41"/>
      <x:c r="D41"/>
      <x:c r="E41"/>
      <x:c r="F41"/>
      <x:c r="G41"/>
      <x:c r="H41"/>
    </x:row>
    <x:row r="42" ht="45" customHeight="1">
      <x:c r="A42"/>
      <x:c r="B42"/>
      <x:c r="C42"/>
      <x:c r="D42"/>
      <x:c r="E42"/>
      <x:c r="F42"/>
      <x:c r="G42"/>
      <x:c r="H42"/>
    </x:row>
    <x:row r="43" ht="42" customHeight="1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8C4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34" hidden="0" customWidth="1"/>
    <x:col min="4" max="4" width="11" hidden="0" customWidth="1"/>
    <x:col min="5" max="5" width="22" hidden="0" customWidth="1"/>
    <x:col min="6" max="6" width="43" hidden="0" customWidth="1"/>
    <x:col min="7" max="7" width="39" hidden="0" customWidth="1"/>
    <x:col min="8" max="8" width="58" hidden="0" customWidth="1"/>
    <x:col min="9" max="9" width="55" hidden="0" customWidth="1"/>
    <x:col min="10" max="10" width="40" hidden="0" customWidth="1"/>
    <x:col min="11" max="11" width="15" hidden="0" customWidth="1"/>
    <x:col min="12" max="12" width="20" hidden="0" customWidth="1"/>
    <x:col min="13" max="13" width="16" hidden="0" customWidth="1"/>
    <x:col min="14" max="14" width="35" hidden="0" customWidth="1"/>
    <x:col min="15" max="15" width="58" hidden="0" customWidth="1"/>
  </x:cols>
  <x:sheetData>
    <x:row r="1">
      <x:c r="A1" s="50"/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/>
    </x:row>
    <x:row r="2" ht="27" customHeight="1">
      <x:c r="A2" s="51" t="str">
        <x:v>Bigoli | User acceptance tests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/>
    </x:row>
    <x:row r="3">
      <x:c r="A3" s="61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/>
    </x:row>
    <x:row r="4">
      <x:c r="A4" s="50"/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/>
    </x:row>
    <x:row r="5" ht="32" customHeight="1">
      <x:c r="A5" s="56" t="str">
        <x:v>Test ID</x:v>
      </x:c>
      <x:c r="B5" s="56" t="str">
        <x:v>Module</x:v>
      </x:c>
      <x:c r="C5" s="56" t="str">
        <x:v>Scenario / objective</x:v>
      </x:c>
      <x:c r="D5" s="56" t="str">
        <x:v>Priority</x:v>
      </x:c>
      <x:c r="E5" s="56" t="str">
        <x:v>Tester role</x:v>
      </x:c>
      <x:c r="F5" s="56" t="str">
        <x:v>Preconditions</x:v>
      </x:c>
      <x:c r="G5" s="56" t="str">
        <x:v>Test data</x:v>
      </x:c>
      <x:c r="H5" s="56" t="str">
        <x:v>Test steps</x:v>
      </x:c>
      <x:c r="I5" s="56" t="str">
        <x:v>Expected result</x:v>
      </x:c>
      <x:c r="J5" s="56" t="str">
        <x:v>Actual result</x:v>
      </x:c>
      <x:c r="K5" s="56" t="str">
        <x:v>Status</x:v>
      </x:c>
      <x:c r="L5" s="56" t="str">
        <x:v>Executed by</x:v>
      </x:c>
      <x:c r="M5" s="56" t="str">
        <x:v>Executed on</x:v>
      </x:c>
      <x:c r="N5" s="56" t="str">
        <x:v>Defect ID / evidence</x:v>
      </x:c>
      <x:c r="O5"/>
    </x:row>
    <x:row r="6" ht="76" customHeight="1">
      <x:c r="A6" s="62" t="str">
        <x:v>UAT-001</x:v>
      </x:c>
      <x:c r="B6" s="62" t="str">
        <x:v>Access</x:v>
      </x:c>
      <x:c r="C6" s="62" t="str">
        <x:v>Business owner signs in</x:v>
      </x:c>
      <x:c r="D6" s="62" t="str">
        <x:v>High</x:v>
      </x:c>
      <x:c r="E6" s="62" t="str">
        <x:v>Business owner</x:v>
      </x:c>
      <x:c r="F6" s="62" t="str">
        <x:v>Owner A exists and email is verified.</x:v>
      </x:c>
      <x:c r="G6" s="62" t="str">
        <x:v>Owner A credentials</x:v>
      </x:c>
      <x:c r="H6" s="62" t="str">
        <x:v>1. Open Admin portal.
2. Sign in.
3. Open Dashboard.</x:v>
      </x:c>
      <x:c r="I6" s="62" t="str">
        <x:v>Owner reaches own business dashboard and navigation.</x:v>
      </x:c>
      <x:c r="J6" s="54"/>
      <x:c r="K6" s="54" t="str">
        <x:v>Not Tested</x:v>
      </x:c>
      <x:c r="L6" s="54"/>
      <x:c r="M6" s="63"/>
      <x:c r="N6" s="54"/>
      <x:c r="O6"/>
    </x:row>
    <x:row r="7" ht="76" customHeight="1">
      <x:c r="A7" s="64" t="str">
        <x:v>UAT-002</x:v>
      </x:c>
      <x:c r="B7" s="64" t="str">
        <x:v>Branches</x:v>
      </x:c>
      <x:c r="C7" s="64" t="str">
        <x:v>Create and update a branch</x:v>
      </x:c>
      <x:c r="D7" s="64" t="str">
        <x:v>High</x:v>
      </x:c>
      <x:c r="E7" s="64" t="str">
        <x:v>Business owner</x:v>
      </x:c>
      <x:c r="F7" s="64" t="str">
        <x:v>Owner A signed in.</x:v>
      </x:c>
      <x:c r="G7" s="64" t="str">
        <x:v>QA Branch A2; updated address</x:v>
      </x:c>
      <x:c r="H7" s="64" t="str">
        <x:v>1. Open Branches.
2. Create QA Branch A2.
3. Edit its address.
4. Reload.</x:v>
      </x:c>
      <x:c r="I7" s="64" t="str">
        <x:v>Branch and updated address persist in the branch list.</x:v>
      </x:c>
      <x:c r="J7" s="54"/>
      <x:c r="K7" s="54" t="str">
        <x:v>Not Tested</x:v>
      </x:c>
      <x:c r="L7" s="54"/>
      <x:c r="M7" s="63"/>
      <x:c r="N7" s="54"/>
      <x:c r="O7"/>
    </x:row>
    <x:row r="8" ht="76" customHeight="1">
      <x:c r="A8" s="62" t="str">
        <x:v>UAT-003</x:v>
      </x:c>
      <x:c r="B8" s="62" t="str">
        <x:v>Staff Accounts</x:v>
      </x:c>
      <x:c r="C8" s="62" t="str">
        <x:v>Create and update branch staff</x:v>
      </x:c>
      <x:c r="D8" s="62" t="str">
        <x:v>High</x:v>
      </x:c>
      <x:c r="E8" s="62" t="str">
        <x:v>Business owner</x:v>
      </x:c>
      <x:c r="F8" s="62" t="str">
        <x:v>Branch A1 exists.</x:v>
      </x:c>
      <x:c r="G8" s="62" t="str">
        <x:v>Staff A2; unique username/email; Branch A1</x:v>
      </x:c>
      <x:c r="H8" s="62" t="str">
        <x:v>1. Open Staff Accounts.
2. Create Staff A2 for A1.
3. Edit details without changing password.
4. Reload.</x:v>
      </x:c>
      <x:c r="I8" s="62" t="str">
        <x:v>Staff account and changes persist; branch assignment is correct.</x:v>
      </x:c>
      <x:c r="J8" s="54"/>
      <x:c r="K8" s="54" t="str">
        <x:v>Not Tested</x:v>
      </x:c>
      <x:c r="L8" s="54"/>
      <x:c r="M8" s="63"/>
      <x:c r="N8" s="54"/>
      <x:c r="O8"/>
    </x:row>
    <x:row r="9" ht="86" customHeight="1">
      <x:c r="A9" s="64" t="str">
        <x:v>UAT-004</x:v>
      </x:c>
      <x:c r="B9" s="64" t="str">
        <x:v>Loyalty Cards</x:v>
      </x:c>
      <x:c r="C9" s="64" t="str">
        <x:v>Configure a loyalty program</x:v>
      </x:c>
      <x:c r="D9" s="64" t="str">
        <x:v>High</x:v>
      </x:c>
      <x:c r="E9" s="64" t="str">
        <x:v>Business owner</x:v>
      </x:c>
      <x:c r="F9" s="64" t="str">
        <x:v>Branches A1 and A2 exist.</x:v>
      </x:c>
      <x:c r="G9" s="64" t="str">
        <x:v>QA Card: 5 stamps; reward at 3 and 5; min spend 100.00; future validity; A1 only</x:v>
      </x:c>
      <x:c r="H9" s="64" t="str">
        <x:v>1. Create a card with the specified data.
2. Save.
3. Reopen for editing.</x:v>
      </x:c>
      <x:c r="I9" s="64" t="str">
        <x:v>Card, minimum spend, milestones and branch assignment persist.</x:v>
      </x:c>
      <x:c r="J9" s="54"/>
      <x:c r="K9" s="54" t="str">
        <x:v>Not Tested</x:v>
      </x:c>
      <x:c r="L9" s="54"/>
      <x:c r="M9" s="63"/>
      <x:c r="N9" s="54"/>
      <x:c r="O9"/>
    </x:row>
    <x:row r="10" ht="86" customHeight="1">
      <x:c r="A10" s="62" t="str">
        <x:v>UAT-005</x:v>
      </x:c>
      <x:c r="B10" s="62" t="str">
        <x:v>QR Studio</x:v>
      </x:c>
      <x:c r="C10" s="62" t="str">
        <x:v>Customize and download a QR code</x:v>
      </x:c>
      <x:c r="D10" s="62" t="str">
        <x:v>Medium</x:v>
      </x:c>
      <x:c r="E10" s="62" t="str">
        <x:v>Business owner</x:v>
      </x:c>
      <x:c r="F10" s="62" t="str">
        <x:v>QR Studio accessible; phone QR scanner available.</x:v>
      </x:c>
      <x:c r="G10" s="62" t="str">
        <x:v>Recognizable supported QR design settings</x:v>
      </x:c>
      <x:c r="H10" s="62" t="str">
        <x:v>1. Change QR design settings and save.
2. Download output.
3. Scan downloaded QR on a phone.</x:v>
      </x:c>
      <x:c r="I10" s="62" t="str">
        <x:v>Saved appearance is reflected in output; QR resolves to the intended destination.</x:v>
      </x:c>
      <x:c r="J10" s="54"/>
      <x:c r="K10" s="54" t="str">
        <x:v>Not Tested</x:v>
      </x:c>
      <x:c r="L10" s="54"/>
      <x:c r="M10" s="63"/>
      <x:c r="N10" s="54"/>
      <x:c r="O10"/>
    </x:row>
    <x:row r="11" ht="86" customHeight="1">
      <x:c r="A11" s="64" t="str">
        <x:v>UAT-006</x:v>
      </x:c>
      <x:c r="B11" s="64" t="str">
        <x:v>Customer Access</x:v>
      </x:c>
      <x:c r="C11" s="64" t="str">
        <x:v>Register and sign in as customer</x:v>
      </x:c>
      <x:c r="D11" s="64" t="str">
        <x:v>High</x:v>
      </x:c>
      <x:c r="E11" s="64" t="str">
        <x:v>Customer</x:v>
      </x:c>
      <x:c r="F11" s="64" t="str">
        <x:v>Unused email; access to test mailbox; customer business context selected.</x:v>
      </x:c>
      <x:c r="G11" s="64" t="str">
        <x:v>Customer A2 registration details</x:v>
      </x:c>
      <x:c r="H11" s="64" t="str">
        <x:v>1. Open Customer portal.
2. Register.
3. Complete email verification if prompted.
4. Sign out and sign in.</x:v>
      </x:c>
      <x:c r="I11" s="64" t="str">
        <x:v>Customer account is created and can access its dashboard.</x:v>
      </x:c>
      <x:c r="J11" s="54"/>
      <x:c r="K11" s="54" t="str">
        <x:v>Not Tested</x:v>
      </x:c>
      <x:c r="L11" s="54"/>
      <x:c r="M11" s="63"/>
      <x:c r="N11" s="54"/>
      <x:c r="O11"/>
    </x:row>
    <x:row r="12" ht="86" customHeight="1">
      <x:c r="A12" s="62" t="str">
        <x:v>UAT-007</x:v>
      </x:c>
      <x:c r="B12" s="62" t="str">
        <x:v>Customer Access</x:v>
      </x:c>
      <x:c r="C12" s="62" t="str">
        <x:v>Recover a forgotten password</x:v>
      </x:c>
      <x:c r="D12" s="62" t="str">
        <x:v>High</x:v>
      </x:c>
      <x:c r="E12" s="62" t="str">
        <x:v>Customer</x:v>
      </x:c>
      <x:c r="F12" s="62" t="str">
        <x:v>Customer A1 exists; test mailbox available.</x:v>
      </x:c>
      <x:c r="G12" s="62" t="str">
        <x:v>New valid password</x:v>
      </x:c>
      <x:c r="H12" s="62" t="str">
        <x:v>1. Request password reset.
2. Open email link.
3. Set new password.
4. Sign in using it.</x:v>
      </x:c>
      <x:c r="I12" s="62" t="str">
        <x:v>Customer can recover access using the new password.</x:v>
      </x:c>
      <x:c r="J12" s="54"/>
      <x:c r="K12" s="54" t="str">
        <x:v>Not Tested</x:v>
      </x:c>
      <x:c r="L12" s="54"/>
      <x:c r="M12" s="63"/>
      <x:c r="N12" s="54"/>
      <x:c r="O12"/>
    </x:row>
    <x:row r="13" ht="86" customHeight="1">
      <x:c r="A13" s="64" t="str">
        <x:v>UAT-008</x:v>
      </x:c>
      <x:c r="B13" s="64" t="str">
        <x:v>Issue Stamp</x:v>
      </x:c>
      <x:c r="C13" s="64" t="str">
        <x:v>Owner issues a stamp using customer QR</x:v>
      </x:c>
      <x:c r="D13" s="64" t="str">
        <x:v>High</x:v>
      </x:c>
      <x:c r="E13" s="64" t="str">
        <x:v>Business owner + Customer</x:v>
      </x:c>
      <x:c r="F13" s="64" t="str">
        <x:v>QA Card active; Customer A1 has 0 stamps; separate customer browser session.</x:v>
      </x:c>
      <x:c r="G13" s="64" t="str">
        <x:v>Customer A1 QR; A1; QA Card; TX-UAT-08; 100.00</x:v>
      </x:c>
      <x:c r="H13" s="64" t="str">
        <x:v>1. Customer opens personal QR.
2. Owner opens Issue Stamp and scans it.
3. Select eligible card/branch and enter receipt details.
4. Submit and view customer dashboard.</x:v>
      </x:c>
      <x:c r="I13" s="64" t="str">
        <x:v>Exactly one stamp is credited to the correct customer/card; receipt details are recorded.</x:v>
      </x:c>
      <x:c r="J13" s="54"/>
      <x:c r="K13" s="54" t="str">
        <x:v>Not Tested</x:v>
      </x:c>
      <x:c r="L13" s="54"/>
      <x:c r="M13" s="63"/>
      <x:c r="N13" s="54"/>
      <x:c r="O13"/>
    </x:row>
    <x:row r="14" ht="76" customHeight="1">
      <x:c r="A14" s="62" t="str">
        <x:v>UAT-009</x:v>
      </x:c>
      <x:c r="B14" s="62" t="str">
        <x:v>Staff Access</x:v>
      </x:c>
      <x:c r="C14" s="62" t="str">
        <x:v>Staff opens assigned workspace</x:v>
      </x:c>
      <x:c r="D14" s="62" t="str">
        <x:v>High</x:v>
      </x:c>
      <x:c r="E14" s="62" t="str">
        <x:v>Staff</x:v>
      </x:c>
      <x:c r="F14" s="62" t="str">
        <x:v>Staff A1 active and assigned to A1.</x:v>
      </x:c>
      <x:c r="G14" s="62" t="str">
        <x:v>Staff A1 credentials</x:v>
      </x:c>
      <x:c r="H14" s="62" t="str">
        <x:v>1. Open Staff portal.
2. Sign in.
3. Review available cards and workspace.</x:v>
      </x:c>
      <x:c r="I14" s="62" t="str">
        <x:v>Staff reaches workspace with cards eligible for the assigned branch.</x:v>
      </x:c>
      <x:c r="J14" s="54"/>
      <x:c r="K14" s="54" t="str">
        <x:v>Not Tested</x:v>
      </x:c>
      <x:c r="L14" s="54"/>
      <x:c r="M14" s="63"/>
      <x:c r="N14" s="54"/>
      <x:c r="O14"/>
    </x:row>
    <x:row r="15" ht="86" customHeight="1">
      <x:c r="A15" s="64" t="str">
        <x:v>UAT-010</x:v>
      </x:c>
      <x:c r="B15" s="64" t="str">
        <x:v>Issue Stamp</x:v>
      </x:c>
      <x:c r="C15" s="64" t="str">
        <x:v>Staff issues a stamp using customer QR</x:v>
      </x:c>
      <x:c r="D15" s="64" t="str">
        <x:v>High</x:v>
      </x:c>
      <x:c r="E15" s="64" t="str">
        <x:v>Staff + Customer</x:v>
      </x:c>
      <x:c r="F15" s="64" t="str">
        <x:v>Staff A1 signed in; customer has space before next milestone.</x:v>
      </x:c>
      <x:c r="G15" s="64" t="str">
        <x:v>Customer A1 QR; QA Card; TX-UAT-10; 100.00</x:v>
      </x:c>
      <x:c r="H15" s="64" t="str">
        <x:v>1. Scan customer QR in Staff workspace.
2. Choose card and enter receipt details.
3. Submit.
4. Check customer progress and staff history.</x:v>
      </x:c>
      <x:c r="I15" s="64" t="str">
        <x:v>One stamp is recorded with correct customer, staff and branch.</x:v>
      </x:c>
      <x:c r="J15" s="54"/>
      <x:c r="K15" s="54" t="str">
        <x:v>Not Tested</x:v>
      </x:c>
      <x:c r="L15" s="54"/>
      <x:c r="M15" s="63"/>
      <x:c r="N15" s="54"/>
      <x:c r="O15"/>
    </x:row>
    <x:row r="16" ht="76" customHeight="1">
      <x:c r="A16" s="62" t="str">
        <x:v>UAT-011</x:v>
      </x:c>
      <x:c r="B16" s="62" t="str">
        <x:v>Stamp Codes</x:v>
      </x:c>
      <x:c r="C16" s="62" t="str">
        <x:v>Customer redeems a staff-generated code</x:v>
      </x:c>
      <x:c r="D16" s="62" t="str">
        <x:v>High</x:v>
      </x:c>
      <x:c r="E16" s="62" t="str">
        <x:v>Staff + Customer</x:v>
      </x:c>
      <x:c r="F16" s="62" t="str">
        <x:v>Staff A1 signed in; QA Card active.</x:v>
      </x:c>
      <x:c r="G16" s="62" t="str">
        <x:v>TX-UAT-11; 100.00; newly generated code</x:v>
      </x:c>
      <x:c r="H16" s="62" t="str">
        <x:v>1. Staff generates an online code for QA Card.
2. Customer enters the code.
3. Submit and refresh dashboard.</x:v>
      </x:c>
      <x:c r="I16" s="62" t="str">
        <x:v>Code is used once; customer progress increases by one.</x:v>
      </x:c>
      <x:c r="J16" s="54"/>
      <x:c r="K16" s="54" t="str">
        <x:v>Not Tested</x:v>
      </x:c>
      <x:c r="L16" s="54"/>
      <x:c r="M16" s="63"/>
      <x:c r="N16" s="54"/>
      <x:c r="O16"/>
    </x:row>
    <x:row r="17" ht="76" customHeight="1">
      <x:c r="A17" s="64" t="str">
        <x:v>UAT-012</x:v>
      </x:c>
      <x:c r="B17" s="64" t="str">
        <x:v>Rewards</x:v>
      </x:c>
      <x:c r="C17" s="64" t="str">
        <x:v>Customer earns a milestone reward</x:v>
      </x:c>
      <x:c r="D17" s="64" t="str">
        <x:v>High</x:v>
      </x:c>
      <x:c r="E17" s="64" t="str">
        <x:v>Staff + Customer</x:v>
      </x:c>
      <x:c r="F17" s="64" t="str">
        <x:v>Customer starts with exactly 2 stamps on QA Card.</x:v>
      </x:c>
      <x:c r="G17" s="64" t="str">
        <x:v>Fresh transaction; 100.00</x:v>
      </x:c>
      <x:c r="H17" s="64" t="str">
        <x:v>1. Record one eligible stamp.
2. Open customer reward view.
3. Open staff/admin Perk Claims.</x:v>
      </x:c>
      <x:c r="I17" s="64" t="str">
        <x:v>Exactly one available reward for stamp 3 appears for this customer.</x:v>
      </x:c>
      <x:c r="J17" s="54"/>
      <x:c r="K17" s="54" t="str">
        <x:v>Not Tested</x:v>
      </x:c>
      <x:c r="L17" s="54"/>
      <x:c r="M17" s="63"/>
      <x:c r="N17" s="54"/>
      <x:c r="O17"/>
    </x:row>
    <x:row r="18" ht="76" customHeight="1">
      <x:c r="A18" s="62" t="str">
        <x:v>UAT-013</x:v>
      </x:c>
      <x:c r="B18" s="62" t="str">
        <x:v>Rewards</x:v>
      </x:c>
      <x:c r="C18" s="62" t="str">
        <x:v>Staff redeems a customer reward</x:v>
      </x:c>
      <x:c r="D18" s="62" t="str">
        <x:v>High</x:v>
      </x:c>
      <x:c r="E18" s="62" t="str">
        <x:v>Staff</x:v>
      </x:c>
      <x:c r="F18" s="62" t="str">
        <x:v>Customer A1 has an available reward.</x:v>
      </x:c>
      <x:c r="G18" s="62" t="str">
        <x:v>Available claim ID; optional remarks</x:v>
      </x:c>
      <x:c r="H18" s="62" t="str">
        <x:v>1. Locate customer reward in Staff workspace.
2. Redeem.
3. Review reward state and redeemer.</x:v>
      </x:c>
      <x:c r="I18" s="62" t="str">
        <x:v>Claim is redeemed once and displays the staff member who redeemed it.</x:v>
      </x:c>
      <x:c r="J18" s="54"/>
      <x:c r="K18" s="54" t="str">
        <x:v>Not Tested</x:v>
      </x:c>
      <x:c r="L18" s="54"/>
      <x:c r="M18" s="63"/>
      <x:c r="N18" s="54"/>
      <x:c r="O18"/>
    </x:row>
    <x:row r="19" ht="76" customHeight="1">
      <x:c r="A19" s="64" t="str">
        <x:v>UAT-014</x:v>
      </x:c>
      <x:c r="B19" s="64" t="str">
        <x:v>Rewards</x:v>
      </x:c>
      <x:c r="C19" s="64" t="str">
        <x:v>Correct an accidental redemption</x:v>
      </x:c>
      <x:c r="D19" s="64" t="str">
        <x:v>Medium</x:v>
      </x:c>
      <x:c r="E19" s="64" t="str">
        <x:v>Business owner</x:v>
      </x:c>
      <x:c r="F19" s="64" t="str">
        <x:v>A test claim is redeemed; approval to undo this test transaction.</x:v>
      </x:c>
      <x:c r="G19" s="64" t="str">
        <x:v>Redeemed claim</x:v>
      </x:c>
      <x:c r="H19" s="64" t="str">
        <x:v>1. Open Perk Claims.
2. Undo redemption.
3. Reload and check claim.</x:v>
      </x:c>
      <x:c r="I19" s="64" t="str">
        <x:v>Claim is available again; redemption timestamp, actor and remarks are cleared.</x:v>
      </x:c>
      <x:c r="J19" s="54"/>
      <x:c r="K19" s="54" t="str">
        <x:v>Not Tested</x:v>
      </x:c>
      <x:c r="L19" s="54"/>
      <x:c r="M19" s="63"/>
      <x:c r="N19" s="54"/>
      <x:c r="O19"/>
    </x:row>
    <x:row r="20" ht="86" customHeight="1">
      <x:c r="A20" s="62" t="str">
        <x:v>UAT-015</x:v>
      </x:c>
      <x:c r="B20" s="62" t="str">
        <x:v>Loyalty Cards</x:v>
      </x:c>
      <x:c r="C20" s="62" t="str">
        <x:v>Complete a card and begin the next cycle</x:v>
      </x:c>
      <x:c r="D20" s="62" t="str">
        <x:v>High</x:v>
      </x:c>
      <x:c r="E20" s="62" t="str">
        <x:v>Staff + Customer</x:v>
      </x:c>
      <x:c r="F20" s="62" t="str">
        <x:v>Customer has 4 stamps on QA Card; note existing completion count.</x:v>
      </x:c>
      <x:c r="G20" s="62" t="str">
        <x:v>Two fresh receipts; 100.00 each</x:v>
      </x:c>
      <x:c r="H20" s="62" t="str">
        <x:v>1. Issue stamp 5.
2. Check completion history and final reward.
3. Issue one more stamp.
4. Check new active progress.</x:v>
      </x:c>
      <x:c r="I20" s="62" t="str">
        <x:v>Completed card is archived; final reward remains available; next cycle starts with one stamp.</x:v>
      </x:c>
      <x:c r="J20" s="54"/>
      <x:c r="K20" s="54" t="str">
        <x:v>Not Tested</x:v>
      </x:c>
      <x:c r="L20" s="54"/>
      <x:c r="M20" s="63"/>
      <x:c r="N20" s="54"/>
      <x:c r="O20"/>
    </x:row>
    <x:row r="21" ht="86" customHeight="1">
      <x:c r="A21" s="64" t="str">
        <x:v>UAT-016</x:v>
      </x:c>
      <x:c r="B21" s="64" t="str">
        <x:v>Customers</x:v>
      </x:c>
      <x:c r="C21" s="64" t="str">
        <x:v>Review customer details</x:v>
      </x:c>
      <x:c r="D21" s="64" t="str">
        <x:v>Medium</x:v>
      </x:c>
      <x:c r="E21" s="64" t="str">
        <x:v>Business owner</x:v>
      </x:c>
      <x:c r="F21" s="64" t="str">
        <x:v>Customer A1 has profile and transaction history.</x:v>
      </x:c>
      <x:c r="G21" s="64" t="str">
        <x:v>Customer A1 username/email</x:v>
      </x:c>
      <x:c r="H21" s="64" t="str">
        <x:v>1. Open Customers.
2. Find A1 and open details.
3. Compare profile to prepared data.</x:v>
      </x:c>
      <x:c r="I21" s="64" t="str">
        <x:v>Correct customer details appear, including phone and date of birth when populated.</x:v>
      </x:c>
      <x:c r="J21" s="54"/>
      <x:c r="K21" s="54" t="str">
        <x:v>Not Tested</x:v>
      </x:c>
      <x:c r="L21" s="54"/>
      <x:c r="M21" s="63"/>
      <x:c r="N21" s="54"/>
      <x:c r="O21"/>
    </x:row>
    <x:row r="22" ht="86" customHeight="1">
      <x:c r="A22" s="62" t="str">
        <x:v>UAT-017</x:v>
      </x:c>
      <x:c r="B22" s="62" t="str">
        <x:v>Stamp Codes</x:v>
      </x:c>
      <x:c r="C22" s="62" t="str">
        <x:v>Review and export stamp history</x:v>
      </x:c>
      <x:c r="D22" s="62" t="str">
        <x:v>Medium</x:v>
      </x:c>
      <x:c r="E22" s="62" t="str">
        <x:v>Business owner</x:v>
      </x:c>
      <x:c r="F22" s="62" t="str">
        <x:v>Several stamps across cards/branches exist.</x:v>
      </x:c>
      <x:c r="G22" s="62" t="str">
        <x:v>Known card/branch/date filter; matching records</x:v>
      </x:c>
      <x:c r="H22" s="62" t="str">
        <x:v>1. Open Stamp Codes.
2. Apply filters and note matching records.
3. Export.
4. Open downloaded workbook.</x:v>
      </x:c>
      <x:c r="I22" s="62" t="str">
        <x:v>Export contains the matching business records and agrees with the filtered view.</x:v>
      </x:c>
      <x:c r="J22" s="54"/>
      <x:c r="K22" s="54" t="str">
        <x:v>Not Tested</x:v>
      </x:c>
      <x:c r="L22" s="54"/>
      <x:c r="M22" s="63"/>
      <x:c r="N22" s="54"/>
      <x:c r="O22"/>
    </x:row>
    <x:row r="23" ht="86" customHeight="1">
      <x:c r="A23" s="64" t="str">
        <x:v>UAT-018</x:v>
      </x:c>
      <x:c r="B23" s="64" t="str">
        <x:v>Feedback</x:v>
      </x:c>
      <x:c r="C23" s="64" t="str">
        <x:v>Rate a received stamp</x:v>
      </x:c>
      <x:c r="D23" s="64" t="str">
        <x:v>Medium</x:v>
      </x:c>
      <x:c r="E23" s="64" t="str">
        <x:v>Customer</x:v>
      </x:c>
      <x:c r="F23" s="64" t="str">
        <x:v>Customer has a newly received stamp.</x:v>
      </x:c>
      <x:c r="G23" s="64" t="str">
        <x:v>Thumbs-up rating</x:v>
      </x:c>
      <x:c r="H23" s="64" t="str">
        <x:v>1. Open rating prompt.
2. Give thumbs up.
3. Reload customer dashboard.</x:v>
      </x:c>
      <x:c r="I23" s="64" t="str">
        <x:v>Rating is saved for the correct stamp and the handled prompt does not reappear.</x:v>
      </x:c>
      <x:c r="J23" s="54"/>
      <x:c r="K23" s="54" t="str">
        <x:v>Not Tested</x:v>
      </x:c>
      <x:c r="L23" s="54"/>
      <x:c r="M23" s="63"/>
      <x:c r="N23" s="54"/>
      <x:c r="O23"/>
    </x:row>
    <x:row r="24" ht="86" customHeight="1">
      <x:c r="A24" s="62" t="str">
        <x:v>UAT-019</x:v>
      </x:c>
      <x:c r="B24" s="62" t="str">
        <x:v>Support</x:v>
      </x:c>
      <x:c r="C24" s="62" t="str">
        <x:v>Create a ticket and add a reply</x:v>
      </x:c>
      <x:c r="D24" s="62" t="str">
        <x:v>Medium</x:v>
      </x:c>
      <x:c r="E24" s="62" t="str">
        <x:v>Business owner</x:v>
      </x:c>
      <x:c r="F24" s="62" t="str">
        <x:v>Owner A signed in.</x:v>
      </x:c>
      <x:c r="G24" s="62" t="str">
        <x:v>QA support subject, description and reply</x:v>
      </x:c>
      <x:c r="H24" s="62" t="str">
        <x:v>1. Open Tickets.
2. Submit a valid ticket.
3. Open it and add a reply.
4. Reload.</x:v>
      </x:c>
      <x:c r="I24" s="62" t="str">
        <x:v>Ticket and reply persist under the correct business.</x:v>
      </x:c>
      <x:c r="J24" s="54"/>
      <x:c r="K24" s="54" t="str">
        <x:v>Not Tested</x:v>
      </x:c>
      <x:c r="L24" s="54"/>
      <x:c r="M24" s="63"/>
      <x:c r="N24" s="54"/>
      <x:c r="O24"/>
    </x:row>
    <x:row r="25" ht="76" customHeight="1">
      <x:c r="A25" s="64" t="str">
        <x:v>UAT-020</x:v>
      </x:c>
      <x:c r="B25" s="64" t="str">
        <x:v>Access</x:v>
      </x:c>
      <x:c r="C25" s="64" t="str">
        <x:v>Sign out from each portal</x:v>
      </x:c>
      <x:c r="D25" s="64" t="str">
        <x:v>High</x:v>
      </x:c>
      <x:c r="E25" s="64" t="str">
        <x:v>Owner / Staff / Customer</x:v>
      </x:c>
      <x:c r="F25" s="64" t="str">
        <x:v>Three separate authenticated browser profiles.</x:v>
      </x:c>
      <x:c r="G25" s="64" t="str">
        <x:v>Admin, Staff and Customer dashboard URLs</x:v>
      </x:c>
      <x:c r="H25" s="64" t="str">
        <x:v>1. Sign out in each portal.
2. Reopen protected dashboard URL.
3. Refresh.</x:v>
      </x:c>
      <x:c r="I25" s="64" t="str">
        <x:v>Each signed-out session requires authentication again.</x:v>
      </x:c>
      <x:c r="J25" s="54"/>
      <x:c r="K25" s="54" t="str">
        <x:v>Not Tested</x:v>
      </x:c>
      <x:c r="L25" s="54"/>
      <x:c r="M25" s="63"/>
      <x:c r="N25" s="54"/>
      <x:c r="O25"/>
    </x:row>
  </x:sheetData>
  <x:conditionalFormatting sqref="K6:K25">
    <x:cfRule type="containsText" dxfId="18" priority="1" operator="containsText" text="Pass"/>
    <x:cfRule type="containsText" dxfId="19" priority="2" operator="containsText" text="Fail"/>
    <x:cfRule type="containsText" dxfId="20" priority="3" operator="containsText" text="Blocked"/>
  </x:conditionalFormatting>
  <x:dataValidations count="1">
    <x:dataValidation type="list" sqref="K6:K25">
      <x:formula1>"Not Tested,Pass,Fail,Blocked,Not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b00722ee5f4ace"/>
  </x:tableParts>
</x:worksheet>
</file>

<file path=xl/worksheets/sheet3.xml><?xml version="1.0" encoding="utf-8"?>
<x:worksheet xmlns:x="http://schemas.openxmlformats.org/spreadsheetml/2006/main">
  <x:sheetPr>
    <x:tabColor rgb="FF008C4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34" hidden="0" customWidth="1"/>
    <x:col min="4" max="4" width="11" hidden="0" customWidth="1"/>
    <x:col min="5" max="5" width="22" hidden="0" customWidth="1"/>
    <x:col min="6" max="6" width="43" hidden="0" customWidth="1"/>
    <x:col min="7" max="7" width="39" hidden="0" customWidth="1"/>
    <x:col min="8" max="8" width="58" hidden="0" customWidth="1"/>
    <x:col min="9" max="9" width="55" hidden="0" customWidth="1"/>
    <x:col min="10" max="10" width="40" hidden="0" customWidth="1"/>
    <x:col min="11" max="11" width="15" hidden="0" customWidth="1"/>
    <x:col min="12" max="12" width="20" hidden="0" customWidth="1"/>
    <x:col min="13" max="13" width="16" hidden="0" customWidth="1"/>
    <x:col min="14" max="14" width="35" hidden="0" customWidth="1"/>
    <x:col min="15" max="15" width="58" hidden="0" customWidth="1"/>
  </x:cols>
  <x:sheetData>
    <x:row r="1">
      <x:c r="A1" s="50"/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/>
    </x:row>
    <x:row r="2" ht="27" customHeight="1">
      <x:c r="A2" s="51" t="str">
        <x:v>Bigoli | Quality control tests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/>
    </x:row>
    <x:row r="3">
      <x:c r="A3" s="61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/>
    </x:row>
    <x:row r="4">
      <x:c r="A4" s="50"/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/>
    </x:row>
    <x:row r="5" ht="32" customHeight="1">
      <x:c r="A5" s="56" t="str">
        <x:v>Test ID</x:v>
      </x:c>
      <x:c r="B5" s="56" t="str">
        <x:v>Module</x:v>
      </x:c>
      <x:c r="C5" s="56" t="str">
        <x:v>Scenario / objective</x:v>
      </x:c>
      <x:c r="D5" s="56" t="str">
        <x:v>Priority</x:v>
      </x:c>
      <x:c r="E5" s="56" t="str">
        <x:v>Tester role</x:v>
      </x:c>
      <x:c r="F5" s="56" t="str">
        <x:v>Preconditions</x:v>
      </x:c>
      <x:c r="G5" s="56" t="str">
        <x:v>Test data</x:v>
      </x:c>
      <x:c r="H5" s="56" t="str">
        <x:v>Test steps</x:v>
      </x:c>
      <x:c r="I5" s="56" t="str">
        <x:v>Expected result</x:v>
      </x:c>
      <x:c r="J5" s="56" t="str">
        <x:v>Actual result</x:v>
      </x:c>
      <x:c r="K5" s="56" t="str">
        <x:v>Status</x:v>
      </x:c>
      <x:c r="L5" s="56" t="str">
        <x:v>Executed by</x:v>
      </x:c>
      <x:c r="M5" s="56" t="str">
        <x:v>Executed on</x:v>
      </x:c>
      <x:c r="N5" s="56" t="str">
        <x:v>Defect ID / evidence</x:v>
      </x:c>
      <x:c r="O5"/>
    </x:row>
    <x:row r="6" ht="86" customHeight="1">
      <x:c r="A6" s="62" t="str">
        <x:v>QC-001</x:v>
      </x:c>
      <x:c r="B6" s="62" t="str">
        <x:v>Authentication</x:v>
      </x:c>
      <x:c r="C6" s="62" t="str">
        <x:v>Reject invalid login</x:v>
      </x:c>
      <x:c r="D6" s="62" t="str">
        <x:v>High</x:v>
      </x:c>
      <x:c r="E6" s="62" t="str">
        <x:v>All roles</x:v>
      </x:c>
      <x:c r="F6" s="62" t="str">
        <x:v>Known valid accounts; each portal available.</x:v>
      </x:c>
      <x:c r="G6" s="62" t="str">
        <x:v>Wrong password; unknown account</x:v>
      </x:c>
      <x:c r="H6" s="62" t="str">
        <x:v>1. In each portal submit a wrong password.
2. Repeat with an unknown account.
3. Open protected dashboard.</x:v>
      </x:c>
      <x:c r="I6" s="62" t="str">
        <x:v>Login is rejected with usable feedback; protected content stays inaccessible.</x:v>
      </x:c>
      <x:c r="J6" s="54"/>
      <x:c r="K6" s="54" t="str">
        <x:v>Not Tested</x:v>
      </x:c>
      <x:c r="L6" s="54"/>
      <x:c r="M6" s="63"/>
      <x:c r="N6" s="54"/>
      <x:c r="O6"/>
    </x:row>
    <x:row r="7" ht="76" customHeight="1">
      <x:c r="A7" s="64" t="str">
        <x:v>QC-002</x:v>
      </x:c>
      <x:c r="B7" s="64" t="str">
        <x:v>Authentication</x:v>
      </x:c>
      <x:c r="C7" s="64" t="str">
        <x:v>Protect authenticated pages</x:v>
      </x:c>
      <x:c r="D7" s="64" t="str">
        <x:v>High</x:v>
      </x:c>
      <x:c r="E7" s="64" t="str">
        <x:v>Guest</x:v>
      </x:c>
      <x:c r="F7" s="64" t="str">
        <x:v>No authenticated cookies.</x:v>
      </x:c>
      <x:c r="G7" s="64" t="str">
        <x:v>Each protected dashboard URL</x:v>
      </x:c>
      <x:c r="H7" s="64" t="str">
        <x:v>1. Open Admin, Staff and Customer dashboards directly in clean browser profiles.</x:v>
      </x:c>
      <x:c r="I7" s="64" t="str">
        <x:v>Each portal requires its own valid authentication.</x:v>
      </x:c>
      <x:c r="J7" s="54"/>
      <x:c r="K7" s="54" t="str">
        <x:v>Not Tested</x:v>
      </x:c>
      <x:c r="L7" s="54"/>
      <x:c r="M7" s="63"/>
      <x:c r="N7" s="54"/>
      <x:c r="O7"/>
    </x:row>
    <x:row r="8" ht="76" customHeight="1">
      <x:c r="A8" s="62" t="str">
        <x:v>QC-003</x:v>
      </x:c>
      <x:c r="B8" s="62" t="str">
        <x:v>Registration</x:v>
      </x:c>
      <x:c r="C8" s="62" t="str">
        <x:v>Reject duplicate customer and malformed email</x:v>
      </x:c>
      <x:c r="D8" s="62" t="str">
        <x:v>Medium</x:v>
      </x:c>
      <x:c r="E8" s="62" t="str">
        <x:v>Customer</x:v>
      </x:c>
      <x:c r="F8" s="62" t="str">
        <x:v>Customer A1 exists.</x:v>
      </x:c>
      <x:c r="G8" s="62" t="str">
        <x:v>Existing A1 email; malformed email; missing required fields</x:v>
      </x:c>
      <x:c r="H8" s="62" t="str">
        <x:v>1. Register with existing email.
2. Repeat with malformed email.
3. Repeat with required inputs blank.</x:v>
      </x:c>
      <x:c r="I8" s="62" t="str">
        <x:v>Each invalid submission is rejected; no duplicate or incomplete account is created.</x:v>
      </x:c>
      <x:c r="J8" s="54"/>
      <x:c r="K8" s="54" t="str">
        <x:v>Not Tested</x:v>
      </x:c>
      <x:c r="L8" s="54"/>
      <x:c r="M8" s="63"/>
      <x:c r="N8" s="54"/>
      <x:c r="O8"/>
    </x:row>
    <x:row r="9" ht="76" customHeight="1">
      <x:c r="A9" s="64" t="str">
        <x:v>QC-004</x:v>
      </x:c>
      <x:c r="B9" s="64" t="str">
        <x:v>Staff Accounts</x:v>
      </x:c>
      <x:c r="C9" s="64" t="str">
        <x:v>Prevent cross-business staff changes</x:v>
      </x:c>
      <x:c r="D9" s="64" t="str">
        <x:v>High</x:v>
      </x:c>
      <x:c r="E9" s="64" t="str">
        <x:v>Business owner</x:v>
      </x:c>
      <x:c r="F9" s="64" t="str">
        <x:v>Owner A and Staff B1 from Business B exist.</x:v>
      </x:c>
      <x:c r="G9" s="64" t="str">
        <x:v>B1 ID; Branch B1 ID</x:v>
      </x:c>
      <x:c r="H9" s="64" t="str">
        <x:v>1. As Owner A attempt create using Branch B1.
2. Attempt update/delete of Staff B1 via modified test request.</x:v>
      </x:c>
      <x:c r="I9" s="64" t="str">
        <x:v>Requests are rejected; Business B records remain unchanged.</x:v>
      </x:c>
      <x:c r="J9" s="54"/>
      <x:c r="K9" s="54" t="str">
        <x:v>Not Tested</x:v>
      </x:c>
      <x:c r="L9" s="54"/>
      <x:c r="M9" s="63"/>
      <x:c r="N9" s="54"/>
      <x:c r="O9"/>
    </x:row>
    <x:row r="10" ht="76" customHeight="1">
      <x:c r="A10" s="62" t="str">
        <x:v>QC-005</x:v>
      </x:c>
      <x:c r="B10" s="62" t="str">
        <x:v>Staff Accounts</x:v>
      </x:c>
      <x:c r="C10" s="62" t="str">
        <x:v>Preserve password when omitted during edit</x:v>
      </x:c>
      <x:c r="D10" s="62" t="str">
        <x:v>Medium</x:v>
      </x:c>
      <x:c r="E10" s="62" t="str">
        <x:v>Business owner + Staff</x:v>
      </x:c>
      <x:c r="F10" s="62" t="str">
        <x:v>Staff A2 exists with known password.</x:v>
      </x:c>
      <x:c r="G10" s="62" t="str">
        <x:v>Changed display details; password left blank</x:v>
      </x:c>
      <x:c r="H10" s="62" t="str">
        <x:v>1. Edit A2 without a new password.
2. Sign in as A2 using original password.</x:v>
      </x:c>
      <x:c r="I10" s="62" t="str">
        <x:v>Updated details persist and original password still works.</x:v>
      </x:c>
      <x:c r="J10" s="54"/>
      <x:c r="K10" s="54" t="str">
        <x:v>Not Tested</x:v>
      </x:c>
      <x:c r="L10" s="54"/>
      <x:c r="M10" s="63"/>
      <x:c r="N10" s="54"/>
      <x:c r="O10"/>
    </x:row>
    <x:row r="11" ht="76" customHeight="1">
      <x:c r="A11" s="64" t="str">
        <x:v>QC-006</x:v>
      </x:c>
      <x:c r="B11" s="64" t="str">
        <x:v>Staff Accounts</x:v>
      </x:c>
      <x:c r="C11" s="64" t="str">
        <x:v>Block deletion of staff with activity</x:v>
      </x:c>
      <x:c r="D11" s="64" t="str">
        <x:v>High</x:v>
      </x:c>
      <x:c r="E11" s="64" t="str">
        <x:v>Business owner</x:v>
      </x:c>
      <x:c r="F11" s="64" t="str">
        <x:v>One staff with stamp/claim activity; one unused disposable staff.</x:v>
      </x:c>
      <x:c r="G11" s="64" t="str">
        <x:v>Active-history staff; unused staff</x:v>
      </x:c>
      <x:c r="H11" s="64" t="str">
        <x:v>1. Try deleting staff with activity.
2. Delete the unused staff after confirmation.</x:v>
      </x:c>
      <x:c r="I11" s="64" t="str">
        <x:v>Historical staff cannot be deleted; unused staff can be removed.</x:v>
      </x:c>
      <x:c r="J11" s="54"/>
      <x:c r="K11" s="54" t="str">
        <x:v>Not Tested</x:v>
      </x:c>
      <x:c r="L11" s="54"/>
      <x:c r="M11" s="63"/>
      <x:c r="N11" s="54"/>
      <x:c r="O11"/>
    </x:row>
    <x:row r="12" ht="76" customHeight="1">
      <x:c r="A12" s="62" t="str">
        <x:v>QC-007</x:v>
      </x:c>
      <x:c r="B12" s="62" t="str">
        <x:v>Staff Access</x:v>
      </x:c>
      <x:c r="C12" s="62" t="str">
        <x:v>Reject inactive staff login</x:v>
      </x:c>
      <x:c r="D12" s="62" t="str">
        <x:v>High</x:v>
      </x:c>
      <x:c r="E12" s="62" t="str">
        <x:v>Staff</x:v>
      </x:c>
      <x:c r="F12" s="62" t="str">
        <x:v>Staff A2 marked inactive.</x:v>
      </x:c>
      <x:c r="G12" s="62" t="str">
        <x:v>Correct inactive staff credentials</x:v>
      </x:c>
      <x:c r="H12" s="62" t="str">
        <x:v>1. Open Staff login.
2. Submit A2 credentials.
3. Try protected workspace URL.</x:v>
      </x:c>
      <x:c r="I12" s="62" t="str">
        <x:v>Inactive staff cannot enter the workspace or perform loyalty actions.</x:v>
      </x:c>
      <x:c r="J12" s="54"/>
      <x:c r="K12" s="54" t="str">
        <x:v>Not Tested</x:v>
      </x:c>
      <x:c r="L12" s="54"/>
      <x:c r="M12" s="63"/>
      <x:c r="N12" s="54"/>
      <x:c r="O12"/>
    </x:row>
    <x:row r="13" ht="76" customHeight="1">
      <x:c r="A13" s="64" t="str">
        <x:v>QC-008</x:v>
      </x:c>
      <x:c r="B13" s="64" t="str">
        <x:v>Staff Access</x:v>
      </x:c>
      <x:c r="C13" s="64" t="str">
        <x:v>Revoke actions for already signed-in inactive staff</x:v>
      </x:c>
      <x:c r="D13" s="64" t="str">
        <x:v>High</x:v>
      </x:c>
      <x:c r="E13" s="64" t="str">
        <x:v>Owner + Staff</x:v>
      </x:c>
      <x:c r="F13" s="64" t="str">
        <x:v>Staff A2 signed in before owner deactivates it.</x:v>
      </x:c>
      <x:c r="G13" s="64" t="str">
        <x:v>Prepared valid stamp and reward requests</x:v>
      </x:c>
      <x:c r="H13" s="64" t="str">
        <x:v>1. Owner deactivates A2.
2. In existing staff session attempt stamp issuance.
3. Attempt reward redemption.</x:v>
      </x:c>
      <x:c r="I13" s="64" t="str">
        <x:v>Both actions are denied; no stamp or claim change is recorded.</x:v>
      </x:c>
      <x:c r="J13" s="54"/>
      <x:c r="K13" s="54" t="str">
        <x:v>Not Tested</x:v>
      </x:c>
      <x:c r="L13" s="54"/>
      <x:c r="M13" s="63"/>
      <x:c r="N13" s="54"/>
      <x:c r="O13"/>
    </x:row>
    <x:row r="14" ht="76" customHeight="1">
      <x:c r="A14" s="62" t="str">
        <x:v>QC-009</x:v>
      </x:c>
      <x:c r="B14" s="62" t="str">
        <x:v>Branches</x:v>
      </x:c>
      <x:c r="C14" s="62" t="str">
        <x:v>Block deletion linked to historical records</x:v>
      </x:c>
      <x:c r="D14" s="62" t="str">
        <x:v>High</x:v>
      </x:c>
      <x:c r="E14" s="62" t="str">
        <x:v>Business owner</x:v>
      </x:c>
      <x:c r="F14" s="62" t="str">
        <x:v>Branch has a stamp retained as soft-deleted completed-card history.</x:v>
      </x:c>
      <x:c r="G14" s="62" t="str">
        <x:v>Historical branch ID</x:v>
      </x:c>
      <x:c r="H14" s="62" t="str">
        <x:v>1. Attempt to delete the branch.
2. Review branch and linked history.</x:v>
      </x:c>
      <x:c r="I14" s="62" t="str">
        <x:v>Deletion is blocked; branch and historical associations remain intact.</x:v>
      </x:c>
      <x:c r="J14" s="54"/>
      <x:c r="K14" s="54" t="str">
        <x:v>Not Tested</x:v>
      </x:c>
      <x:c r="L14" s="54"/>
      <x:c r="M14" s="63"/>
      <x:c r="N14" s="54"/>
      <x:c r="O14"/>
    </x:row>
    <x:row r="15" ht="76" customHeight="1">
      <x:c r="A15" s="64" t="str">
        <x:v>QC-010</x:v>
      </x:c>
      <x:c r="B15" s="64" t="str">
        <x:v>Loyalty Cards</x:v>
      </x:c>
      <x:c r="C15" s="64" t="str">
        <x:v>Validate required card fields and limits</x:v>
      </x:c>
      <x:c r="D15" s="64" t="str">
        <x:v>Medium</x:v>
      </x:c>
      <x:c r="E15" s="64" t="str">
        <x:v>Business owner</x:v>
      </x:c>
      <x:c r="F15" s="64" t="str">
        <x:v>Card creation form available.</x:v>
      </x:c>
      <x:c r="G15" s="64" t="str">
        <x:v>Blank required fields; stampsNeeded 0; minimum spend -1; 1.001; mechanics &gt;500 chars</x:v>
      </x:c>
      <x:c r="H15" s="64" t="str">
        <x:v>1. Submit one invalid field variant at a time.
2. Inspect feedback and saved list after each.</x:v>
      </x:c>
      <x:c r="I15" s="64" t="str">
        <x:v>Invalid input is rejected with field feedback; no invalid card is saved.</x:v>
      </x:c>
      <x:c r="J15" s="54"/>
      <x:c r="K15" s="54" t="str">
        <x:v>Not Tested</x:v>
      </x:c>
      <x:c r="L15" s="54"/>
      <x:c r="M15" s="63"/>
      <x:c r="N15" s="54"/>
      <x:c r="O15"/>
    </x:row>
    <x:row r="16" ht="76" customHeight="1">
      <x:c r="A16" s="62" t="str">
        <x:v>QC-011</x:v>
      </x:c>
      <x:c r="B16" s="62" t="str">
        <x:v>Loyalty Cards</x:v>
      </x:c>
      <x:c r="C16" s="62" t="str">
        <x:v>Reject invalid or repeated reward milestones</x:v>
      </x:c>
      <x:c r="D16" s="62" t="str">
        <x:v>High</x:v>
      </x:c>
      <x:c r="E16" s="62" t="str">
        <x:v>Business owner</x:v>
      </x:c>
      <x:c r="F16" s="62" t="str">
        <x:v>Creating 5-stamp card.</x:v>
      </x:c>
      <x:c r="G16" s="62" t="str">
        <x:v>Milestones 0, 6, and duplicate 3</x:v>
      </x:c>
      <x:c r="H16" s="62" t="str">
        <x:v>1. Submit milestone 0.
2. Submit milestone 6.
3. Submit two rewards at milestone 3.</x:v>
      </x:c>
      <x:c r="I16" s="62" t="str">
        <x:v>Each variant is rejected; milestones must be distinct and within 1–5.</x:v>
      </x:c>
      <x:c r="J16" s="54"/>
      <x:c r="K16" s="54" t="str">
        <x:v>Not Tested</x:v>
      </x:c>
      <x:c r="L16" s="54"/>
      <x:c r="M16" s="63"/>
      <x:c r="N16" s="54"/>
      <x:c r="O16"/>
    </x:row>
    <x:row r="17" ht="76" customHeight="1">
      <x:c r="A17" s="64" t="str">
        <x:v>QC-012</x:v>
      </x:c>
      <x:c r="B17" s="64" t="str">
        <x:v>Loyalty Cards</x:v>
      </x:c>
      <x:c r="C17" s="64" t="str">
        <x:v>Allow optional reward color</x:v>
      </x:c>
      <x:c r="D17" s="64" t="str">
        <x:v>Low</x:v>
      </x:c>
      <x:c r="E17" s="64" t="str">
        <x:v>Business owner</x:v>
      </x:c>
      <x:c r="F17" s="64" t="str">
        <x:v>Card with a colored perk exists.</x:v>
      </x:c>
      <x:c r="G17" s="64" t="str">
        <x:v>New perk with no color; edit existing perk without color</x:v>
      </x:c>
      <x:c r="H17" s="64" t="str">
        <x:v>1. Create a valid card omitting reward color.
2. Edit existing perk omitting its color.</x:v>
      </x:c>
      <x:c r="I17" s="64" t="str">
        <x:v>Creation succeeds; existing perk color is preserved on edit.</x:v>
      </x:c>
      <x:c r="J17" s="54"/>
      <x:c r="K17" s="54" t="str">
        <x:v>Not Tested</x:v>
      </x:c>
      <x:c r="L17" s="54"/>
      <x:c r="M17" s="63"/>
      <x:c r="N17" s="54"/>
      <x:c r="O17"/>
    </x:row>
    <x:row r="18" ht="76" customHeight="1">
      <x:c r="A18" s="62" t="str">
        <x:v>QC-013</x:v>
      </x:c>
      <x:c r="B18" s="62" t="str">
        <x:v>Loyalty Cards</x:v>
      </x:c>
      <x:c r="C18" s="62" t="str">
        <x:v>Protect earned rewards from template edits/deletion</x:v>
      </x:c>
      <x:c r="D18" s="62" t="str">
        <x:v>High</x:v>
      </x:c>
      <x:c r="E18" s="62" t="str">
        <x:v>Business owner</x:v>
      </x:c>
      <x:c r="F18" s="62" t="str">
        <x:v>QA Card has an earned milestone claim.</x:v>
      </x:c>
      <x:c r="G18" s="62" t="str">
        <x:v>Earned perk ID; original threshold/reward</x:v>
      </x:c>
      <x:c r="H18" s="62" t="str">
        <x:v>1. Attempt changing earned perk threshold or reward.
2. Attempt removing earned perk.
3. Attempt deleting card to bypass protection.</x:v>
      </x:c>
      <x:c r="I18" s="62" t="str">
        <x:v>Protected changes are rejected; earned entitlement and card remain intact.</x:v>
      </x:c>
      <x:c r="J18" s="54"/>
      <x:c r="K18" s="54" t="str">
        <x:v>Not Tested</x:v>
      </x:c>
      <x:c r="L18" s="54"/>
      <x:c r="M18" s="63"/>
      <x:c r="N18" s="54"/>
      <x:c r="O18"/>
    </x:row>
    <x:row r="19" ht="76" customHeight="1">
      <x:c r="A19" s="64" t="str">
        <x:v>QC-014</x:v>
      </x:c>
      <x:c r="B19" s="64" t="str">
        <x:v>Issue Stamp</x:v>
      </x:c>
      <x:c r="C19" s="64" t="str">
        <x:v>Minimum spend boundary — owner and staff</x:v>
      </x:c>
      <x:c r="D19" s="64" t="str">
        <x:v>High</x:v>
      </x:c>
      <x:c r="E19" s="64" t="str">
        <x:v>Owner + Staff</x:v>
      </x:c>
      <x:c r="F19" s="64" t="str">
        <x:v>Active QA Card requires 100.00; valid customer QR.</x:v>
      </x:c>
      <x:c r="G19" s="64" t="str">
        <x:v>99.99 then 100.00; fresh transaction per attempt</x:v>
      </x:c>
      <x:c r="H19" s="64" t="str">
        <x:v>1. For each role scan customer QR and submit 99.99.
2. Retry with 100.00.
3. Compare stamp counts and receipts.</x:v>
      </x:c>
      <x:c r="I19" s="64" t="str">
        <x:v>99.99 adds no stamp; 100.00 adds exactly one and records the amount.</x:v>
      </x:c>
      <x:c r="J19" s="54"/>
      <x:c r="K19" s="54" t="str">
        <x:v>Not Tested</x:v>
      </x:c>
      <x:c r="L19" s="54"/>
      <x:c r="M19" s="63"/>
      <x:c r="N19" s="54"/>
      <x:c r="O19"/>
    </x:row>
    <x:row r="20" ht="76" customHeight="1">
      <x:c r="A20" s="62" t="str">
        <x:v>QC-015</x:v>
      </x:c>
      <x:c r="B20" s="62" t="str">
        <x:v>Stamp Codes</x:v>
      </x:c>
      <x:c r="C20" s="62" t="str">
        <x:v>Minimum spend boundary for generated code</x:v>
      </x:c>
      <x:c r="D20" s="62" t="str">
        <x:v>High</x:v>
      </x:c>
      <x:c r="E20" s="62" t="str">
        <x:v>Staff</x:v>
      </x:c>
      <x:c r="F20" s="62" t="str">
        <x:v>Active QA Card requires 100.00.</x:v>
      </x:c>
      <x:c r="G20" s="62" t="str">
        <x:v>99.99 then 100.00; fresh receipt IDs</x:v>
      </x:c>
      <x:c r="H20" s="62" t="str">
        <x:v>1. Generate a code at 99.99.
2. Generate at 100.00.
3. Review code history.</x:v>
      </x:c>
      <x:c r="I20" s="62" t="str">
        <x:v>Below minimum is rejected; minimum creates exactly one valid code.</x:v>
      </x:c>
      <x:c r="J20" s="54"/>
      <x:c r="K20" s="54" t="str">
        <x:v>Not Tested</x:v>
      </x:c>
      <x:c r="L20" s="54"/>
      <x:c r="M20" s="63"/>
      <x:c r="N20" s="54"/>
      <x:c r="O20"/>
    </x:row>
    <x:row r="21" ht="76" customHeight="1">
      <x:c r="A21" s="64" t="str">
        <x:v>QC-016</x:v>
      </x:c>
      <x:c r="B21" s="64" t="str">
        <x:v>Issue Stamp</x:v>
      </x:c>
      <x:c r="C21" s="64" t="str">
        <x:v>Require receipt number and valid amount</x:v>
      </x:c>
      <x:c r="D21" s="64" t="str">
        <x:v>High</x:v>
      </x:c>
      <x:c r="E21" s="64" t="str">
        <x:v>Owner + Staff</x:v>
      </x:c>
      <x:c r="F21" s="64" t="str">
        <x:v>Valid card/customer context.</x:v>
      </x:c>
      <x:c r="G21" s="64" t="str">
        <x:v>Blank transaction; negative amount; nonnumeric amount; &gt;2 decimal places</x:v>
      </x:c>
      <x:c r="H21" s="64" t="str">
        <x:v>1. Submit each invalid value separately through scan/code workflows where available.
2. Inspect errors and stamp history.</x:v>
      </x:c>
      <x:c r="I21" s="64" t="str">
        <x:v>Invalid request is rejected; no stamp or usable code is created.</x:v>
      </x:c>
      <x:c r="J21" s="54"/>
      <x:c r="K21" s="54" t="str">
        <x:v>Not Tested</x:v>
      </x:c>
      <x:c r="L21" s="54"/>
      <x:c r="M21" s="63"/>
      <x:c r="N21" s="54"/>
      <x:c r="O21"/>
    </x:row>
    <x:row r="22" ht="76" customHeight="1">
      <x:c r="A22" s="62" t="str">
        <x:v>QC-017</x:v>
      </x:c>
      <x:c r="B22" s="62" t="str">
        <x:v>Issue Stamp</x:v>
      </x:c>
      <x:c r="C22" s="62" t="str">
        <x:v>Reject malformed or tampered customer QR</x:v>
      </x:c>
      <x:c r="D22" s="62" t="str">
        <x:v>High</x:v>
      </x:c>
      <x:c r="E22" s="62" t="str">
        <x:v>Owner + Staff</x:v>
      </x:c>
      <x:c r="F22" s="62" t="str">
        <x:v>Valid customer QR captured for comparison.</x:v>
      </x:c>
      <x:c r="G22" s="62" t="str">
        <x:v>Random text; QR with changed customer ID/signature</x:v>
      </x:c>
      <x:c r="H22" s="62" t="str">
        <x:v>1. Scan or submit malformed payload.
2. Repeat with tampered valid QR.
3. Check customer stamp count.</x:v>
      </x:c>
      <x:c r="I22" s="62" t="str">
        <x:v>QR validation rejects both; no stamp is recorded.</x:v>
      </x:c>
      <x:c r="J22" s="54"/>
      <x:c r="K22" s="54" t="str">
        <x:v>Not Tested</x:v>
      </x:c>
      <x:c r="L22" s="54"/>
      <x:c r="M22" s="63"/>
      <x:c r="N22" s="54"/>
      <x:c r="O22"/>
    </x:row>
    <x:row r="23" ht="76" customHeight="1">
      <x:c r="A23" s="64" t="str">
        <x:v>QC-018</x:v>
      </x:c>
      <x:c r="B23" s="64" t="str">
        <x:v>Issue Stamp</x:v>
      </x:c>
      <x:c r="C23" s="64" t="str">
        <x:v>Reject another business customer QR</x:v>
      </x:c>
      <x:c r="D23" s="64" t="str">
        <x:v>High</x:v>
      </x:c>
      <x:c r="E23" s="64" t="str">
        <x:v>Owner + Staff</x:v>
      </x:c>
      <x:c r="F23" s="64" t="str">
        <x:v>Customer B1 belongs to Business B.</x:v>
      </x:c>
      <x:c r="G23" s="64" t="str">
        <x:v>Customer B1 QR; Business A card</x:v>
      </x:c>
      <x:c r="H23" s="64" t="str">
        <x:v>1. As Owner A submit B1 QR.
2. Repeat as Staff A1.</x:v>
      </x:c>
      <x:c r="I23" s="64" t="str">
        <x:v>Both requests are rejected; neither business gains an incorrect stamp.</x:v>
      </x:c>
      <x:c r="J23" s="54"/>
      <x:c r="K23" s="54" t="str">
        <x:v>Not Tested</x:v>
      </x:c>
      <x:c r="L23" s="54"/>
      <x:c r="M23" s="63"/>
      <x:c r="N23" s="54"/>
      <x:c r="O23"/>
    </x:row>
    <x:row r="24" ht="76" customHeight="1">
      <x:c r="A24" s="62" t="str">
        <x:v>QC-019</x:v>
      </x:c>
      <x:c r="B24" s="62" t="str">
        <x:v>Issue Stamp</x:v>
      </x:c>
      <x:c r="C24" s="62" t="str">
        <x:v>Enforce card branch eligibility</x:v>
      </x:c>
      <x:c r="D24" s="62" t="str">
        <x:v>High</x:v>
      </x:c>
      <x:c r="E24" s="62" t="str">
        <x:v>Owner + Staff</x:v>
      </x:c>
      <x:c r="F24" s="62" t="str">
        <x:v>QA Card restricted to A1; Staff A2 assigned A2.</x:v>
      </x:c>
      <x:c r="G24" s="62" t="str">
        <x:v>Restricted QA Card; A2</x:v>
      </x:c>
      <x:c r="H24" s="62" t="str">
        <x:v>1. Owner attempts scan with branch A2 and restricted card.
2. Staff A2 attempts same card via modified test request.</x:v>
      </x:c>
      <x:c r="I24" s="62" t="str">
        <x:v>Ineligible branch/card pairing is rejected; no stamp is credited.</x:v>
      </x:c>
      <x:c r="J24" s="54"/>
      <x:c r="K24" s="54" t="str">
        <x:v>Not Tested</x:v>
      </x:c>
      <x:c r="L24" s="54"/>
      <x:c r="M24" s="63"/>
      <x:c r="N24" s="54"/>
      <x:c r="O24"/>
    </x:row>
    <x:row r="25" ht="76" customHeight="1">
      <x:c r="A25" s="64" t="str">
        <x:v>QC-020</x:v>
      </x:c>
      <x:c r="B25" s="64" t="str">
        <x:v>Issue Stamp</x:v>
      </x:c>
      <x:c r="C25" s="64" t="str">
        <x:v>Reject expired card for all issuance paths</x:v>
      </x:c>
      <x:c r="D25" s="64" t="str">
        <x:v>High</x:v>
      </x:c>
      <x:c r="E25" s="64" t="str">
        <x:v>Owner + Staff + Customer</x:v>
      </x:c>
      <x:c r="F25" s="64" t="str">
        <x:v>Dedicated card validity is yesterday; unused code issued before expiry.</x:v>
      </x:c>
      <x:c r="G25" s="64" t="str">
        <x:v>Expired card; customer QR; unused online code</x:v>
      </x:c>
      <x:c r="H25" s="64" t="str">
        <x:v>1. Owner attempts scan issuance.
2. Staff attempts scan/code issuance.
3. Customer attempts code redemption.</x:v>
      </x:c>
      <x:c r="I25" s="64" t="str">
        <x:v>Expired card receives no stamp through any path.</x:v>
      </x:c>
      <x:c r="J25" s="54"/>
      <x:c r="K25" s="54" t="str">
        <x:v>Not Tested</x:v>
      </x:c>
      <x:c r="L25" s="54"/>
      <x:c r="M25" s="63"/>
      <x:c r="N25" s="54"/>
      <x:c r="O25"/>
    </x:row>
    <x:row r="26" ht="76" customHeight="1">
      <x:c r="A26" s="62" t="str">
        <x:v>QC-021</x:v>
      </x:c>
      <x:c r="B26" s="62" t="str">
        <x:v>Stamp Codes</x:v>
      </x:c>
      <x:c r="C26" s="62" t="str">
        <x:v>Reject unknown, reused and foreign-business codes</x:v>
      </x:c>
      <x:c r="D26" s="62" t="str">
        <x:v>High</x:v>
      </x:c>
      <x:c r="E26" s="62" t="str">
        <x:v>Customer</x:v>
      </x:c>
      <x:c r="F26" s="62" t="str">
        <x:v>A1 signed in; used A code and unused B code exist.</x:v>
      </x:c>
      <x:c r="G26" s="62" t="str">
        <x:v>Unknown code; used A code; unused B code</x:v>
      </x:c>
      <x:c r="H26" s="62" t="str">
        <x:v>1. Redeem each code separately as A1.
2. Compare active progress before/after.</x:v>
      </x:c>
      <x:c r="I26" s="62" t="str">
        <x:v>Each code is rejected; progress and claims remain unchanged.</x:v>
      </x:c>
      <x:c r="J26" s="54"/>
      <x:c r="K26" s="54" t="str">
        <x:v>Not Tested</x:v>
      </x:c>
      <x:c r="L26" s="54"/>
      <x:c r="M26" s="63"/>
      <x:c r="N26" s="54"/>
      <x:c r="O26"/>
    </x:row>
    <x:row r="27" ht="76" customHeight="1">
      <x:c r="A27" s="64" t="str">
        <x:v>QC-022</x:v>
      </x:c>
      <x:c r="B27" s="64" t="str">
        <x:v>Stamp Codes</x:v>
      </x:c>
      <x:c r="C27" s="64" t="str">
        <x:v>Keep old unused online code redeemable on valid card</x:v>
      </x:c>
      <x:c r="D27" s="64" t="str">
        <x:v>Medium</x:v>
      </x:c>
      <x:c r="E27" s="64" t="str">
        <x:v>Customer</x:v>
      </x:c>
      <x:c r="F27" s="64" t="str">
        <x:v>QA has prepared an old unused online code; associated card remains active.</x:v>
      </x:c>
      <x:c r="G27" s="64" t="str">
        <x:v>Old online code with legacy expiry flag</x:v>
      </x:c>
      <x:c r="H27" s="64" t="str">
        <x:v>1. Redeem prepared code.
2. Inspect progress.</x:v>
      </x:c>
      <x:c r="I27" s="64" t="str">
        <x:v>Valid unused online code is accepted regardless of code age/legacy expiry flag.</x:v>
      </x:c>
      <x:c r="J27" s="54"/>
      <x:c r="K27" s="54" t="str">
        <x:v>Not Tested</x:v>
      </x:c>
      <x:c r="L27" s="54"/>
      <x:c r="M27" s="63"/>
      <x:c r="N27" s="54"/>
      <x:c r="O27"/>
    </x:row>
    <x:row r="28" ht="76" customHeight="1">
      <x:c r="A28" s="62" t="str">
        <x:v>QC-023</x:v>
      </x:c>
      <x:c r="B28" s="62" t="str">
        <x:v>Stamp Codes</x:v>
      </x:c>
      <x:c r="C28" s="62" t="str">
        <x:v>Reject historical offline code</x:v>
      </x:c>
      <x:c r="D28" s="62" t="str">
        <x:v>High</x:v>
      </x:c>
      <x:c r="E28" s="62" t="str">
        <x:v>Customer</x:v>
      </x:c>
      <x:c r="F28" s="62" t="str">
        <x:v>QA fixture contains unused legacy offline code.</x:v>
      </x:c>
      <x:c r="G28" s="62" t="str">
        <x:v>Legacy offline code</x:v>
      </x:c>
      <x:c r="H28" s="62" t="str">
        <x:v>1. Submit offline code as its business customer.
2. Inspect progress and code state.</x:v>
      </x:c>
      <x:c r="I28" s="62" t="str">
        <x:v>Offline code cannot be redeemed; no stamp is added.</x:v>
      </x:c>
      <x:c r="J28" s="54"/>
      <x:c r="K28" s="54" t="str">
        <x:v>Not Tested</x:v>
      </x:c>
      <x:c r="L28" s="54"/>
      <x:c r="M28" s="63"/>
      <x:c r="N28" s="54"/>
      <x:c r="O28"/>
    </x:row>
    <x:row r="29" ht="76" customHeight="1">
      <x:c r="A29" s="64" t="str">
        <x:v>QC-024</x:v>
      </x:c>
      <x:c r="B29" s="64" t="str">
        <x:v>Staff Workspace</x:v>
      </x:c>
      <x:c r="C29" s="64" t="str">
        <x:v>Viewing or refreshing creates no codes</x:v>
      </x:c>
      <x:c r="D29" s="64" t="str">
        <x:v>High</x:v>
      </x:c>
      <x:c r="E29" s="64" t="str">
        <x:v>Staff</x:v>
      </x:c>
      <x:c r="F29" s="64" t="str">
        <x:v>Note current staff code count.</x:v>
      </x:c>
      <x:c r="G29" s="64" t="str">
        <x:v>Staff dashboard and code tab</x:v>
      </x:c>
      <x:c r="H29" s="64" t="str">
        <x:v>1. Open dashboard.
2. Refresh twice.
3. Switch tabs and revisit code list.</x:v>
      </x:c>
      <x:c r="I29" s="64" t="str">
        <x:v>No code is generated by viewing, refreshing or switching tabs.</x:v>
      </x:c>
      <x:c r="J29" s="54"/>
      <x:c r="K29" s="54" t="str">
        <x:v>Not Tested</x:v>
      </x:c>
      <x:c r="L29" s="54"/>
      <x:c r="M29" s="63"/>
      <x:c r="N29" s="54"/>
      <x:c r="O29"/>
    </x:row>
    <x:row r="30" ht="76" customHeight="1">
      <x:c r="A30" s="62" t="str">
        <x:v>QC-025</x:v>
      </x:c>
      <x:c r="B30" s="62" t="str">
        <x:v>Staff Workspace</x:v>
      </x:c>
      <x:c r="C30" s="62" t="str">
        <x:v>Single generation survives refresh safely</x:v>
      </x:c>
      <x:c r="D30" s="62" t="str">
        <x:v>High</x:v>
      </x:c>
      <x:c r="E30" s="62" t="str">
        <x:v>Staff</x:v>
      </x:c>
      <x:c r="F30" s="62" t="str">
        <x:v>Valid QA Card and receipt.</x:v>
      </x:c>
      <x:c r="G30" s="62" t="str">
        <x:v>Fresh receipt; 100.00</x:v>
      </x:c>
      <x:c r="H30" s="62" t="str">
        <x:v>1. Generate one code.
2. Note code and total count.
3. Refresh and revisit list.</x:v>
      </x:c>
      <x:c r="I30" s="62" t="str">
        <x:v>Exactly one code was created; refresh does not create another.</x:v>
      </x:c>
      <x:c r="J30" s="54"/>
      <x:c r="K30" s="54" t="str">
        <x:v>Not Tested</x:v>
      </x:c>
      <x:c r="L30" s="54"/>
      <x:c r="M30" s="63"/>
      <x:c r="N30" s="54"/>
      <x:c r="O30"/>
    </x:row>
    <x:row r="31" ht="76" customHeight="1">
      <x:c r="A31" s="64" t="str">
        <x:v>QC-026</x:v>
      </x:c>
      <x:c r="B31" s="64" t="str">
        <x:v>Rewards</x:v>
      </x:c>
      <x:c r="C31" s="64" t="str">
        <x:v>Award only at configured milestone</x:v>
      </x:c>
      <x:c r="D31" s="64" t="str">
        <x:v>High</x:v>
      </x:c>
      <x:c r="E31" s="64" t="str">
        <x:v>Staff + Customer</x:v>
      </x:c>
      <x:c r="F31" s="64" t="str">
        <x:v>Customer starts with 1 stamp on QA Card; no claim this cycle.</x:v>
      </x:c>
      <x:c r="G31" s="64" t="str">
        <x:v>Two fresh receipts; 100.00 each</x:v>
      </x:c>
      <x:c r="H31" s="64" t="str">
        <x:v>1. Issue stamp 2 and inspect claims.
2. Issue stamp 3 and inspect claims.</x:v>
      </x:c>
      <x:c r="I31" s="64" t="str">
        <x:v>No claim at 2; exactly one configured milestone claim at 3.</x:v>
      </x:c>
      <x:c r="J31" s="54"/>
      <x:c r="K31" s="54" t="str">
        <x:v>Not Tested</x:v>
      </x:c>
      <x:c r="L31" s="54"/>
      <x:c r="M31" s="63"/>
      <x:c r="N31" s="54"/>
      <x:c r="O31"/>
    </x:row>
    <x:row r="32" ht="76" customHeight="1">
      <x:c r="A32" s="62" t="str">
        <x:v>QC-027</x:v>
      </x:c>
      <x:c r="B32" s="62" t="str">
        <x:v>Rewards</x:v>
      </x:c>
      <x:c r="C32" s="62" t="str">
        <x:v>Maintain reward cycles across both stamp paths</x:v>
      </x:c>
      <x:c r="D32" s="62" t="str">
        <x:v>High</x:v>
      </x:c>
      <x:c r="E32" s="62" t="str">
        <x:v>Staff + Customer</x:v>
      </x:c>
      <x:c r="F32" s="62" t="str">
        <x:v>Fresh customer, 5-stamp QA Card, milestones 3 and 5.</x:v>
      </x:c>
      <x:c r="G32" s="62" t="str">
        <x:v>10 eligible receipts; alternate QR and online-code issuance</x:v>
      </x:c>
      <x:c r="H32" s="62" t="str">
        <x:v>1. Collect 10 stamps using alternating paths.
2. Check completion history and all earned claims.</x:v>
      </x:c>
      <x:c r="I32" s="62" t="str">
        <x:v>Two completed cycles; one milestone-3 and one milestone-5 claim per cycle; no duplicate/lost claim.</x:v>
      </x:c>
      <x:c r="J32" s="54"/>
      <x:c r="K32" s="54" t="str">
        <x:v>Not Tested</x:v>
      </x:c>
      <x:c r="L32" s="54"/>
      <x:c r="M32" s="63"/>
      <x:c r="N32" s="54"/>
      <x:c r="O32"/>
    </x:row>
    <x:row r="33" ht="86" customHeight="1">
      <x:c r="A33" s="64" t="str">
        <x:v>QC-028</x:v>
      </x:c>
      <x:c r="B33" s="64" t="str">
        <x:v>Concurrency</x:v>
      </x:c>
      <x:c r="C33" s="64" t="str">
        <x:v>Consume the same code only once</x:v>
      </x:c>
      <x:c r="D33" s="64" t="str">
        <x:v>High</x:v>
      </x:c>
      <x:c r="E33" s="64" t="str">
        <x:v>QA tester</x:v>
      </x:c>
      <x:c r="F33" s="64" t="str">
        <x:v>Isolated test environment; same customer logged in twice; unused code.</x:v>
      </x:c>
      <x:c r="G33" s="64" t="str">
        <x:v>One unused code; two simultaneous valid requests</x:v>
      </x:c>
      <x:c r="H33" s="64" t="str">
        <x:v>1. Capture valid redemption request in approved QA tool.
2. Submit same code concurrently twice.
3. Inspect stamps and claims.</x:v>
      </x:c>
      <x:c r="I33" s="64" t="str">
        <x:v>Only one redemption succeeds; one stamp/entitlement effect is recorded.</x:v>
      </x:c>
      <x:c r="J33" s="54"/>
      <x:c r="K33" s="54" t="str">
        <x:v>Not Tested</x:v>
      </x:c>
      <x:c r="L33" s="54"/>
      <x:c r="M33" s="63"/>
      <x:c r="N33" s="54"/>
      <x:c r="O33"/>
    </x:row>
    <x:row r="34" ht="86" customHeight="1">
      <x:c r="A34" s="62" t="str">
        <x:v>QC-029</x:v>
      </x:c>
      <x:c r="B34" s="62" t="str">
        <x:v>Concurrency</x:v>
      </x:c>
      <x:c r="C34" s="62" t="str">
        <x:v>Serialize simultaneous milestone stamps</x:v>
      </x:c>
      <x:c r="D34" s="62" t="str">
        <x:v>High</x:v>
      </x:c>
      <x:c r="E34" s="62" t="str">
        <x:v>QA tester</x:v>
      </x:c>
      <x:c r="F34" s="62" t="str">
        <x:v>Database matches deployment; customer at 2 of 5; two unused codes.</x:v>
      </x:c>
      <x:c r="G34" s="62" t="str">
        <x:v>Two codes for same card/customer</x:v>
      </x:c>
      <x:c r="H34" s="62" t="str">
        <x:v>1. Submit both code redemptions concurrently.
2. Inspect progress and milestone claims.</x:v>
      </x:c>
      <x:c r="I34" s="62" t="str">
        <x:v>Customer ends at 4 stamps; exactly one milestone-3 claim; neither stamp lost.</x:v>
      </x:c>
      <x:c r="J34" s="54"/>
      <x:c r="K34" s="54" t="str">
        <x:v>Not Tested</x:v>
      </x:c>
      <x:c r="L34" s="54"/>
      <x:c r="M34" s="63"/>
      <x:c r="N34" s="54"/>
      <x:c r="O34"/>
    </x:row>
    <x:row r="35" ht="100" customHeight="1">
      <x:c r="A35" s="64" t="str">
        <x:v>QC-030</x:v>
      </x:c>
      <x:c r="B35" s="64" t="str">
        <x:v>Rewards</x:v>
      </x:c>
      <x:c r="C35" s="64" t="str">
        <x:v>Prevent double redemption from stale views</x:v>
      </x:c>
      <x:c r="D35" s="64" t="str">
        <x:v>High</x:v>
      </x:c>
      <x:c r="E35" s="64" t="str">
        <x:v>Owner + Staff</x:v>
      </x:c>
      <x:c r="F35" s="64" t="str">
        <x:v>Same available claim open in two sessions.</x:v>
      </x:c>
      <x:c r="G35" s="64" t="str">
        <x:v>One available claim ID</x:v>
      </x:c>
      <x:c r="H35" s="64" t="str">
        <x:v>1. Submit redemption from both sessions in quick succession.
2. Reload both views.
3. Inspect redemption actor/time.</x:v>
      </x:c>
      <x:c r="I35" s="64" t="str">
        <x:v>Only one state transition succeeds; claim remains redeemed once.</x:v>
      </x:c>
      <x:c r="J35" s="54"/>
      <x:c r="K35" s="54" t="str">
        <x:v>Not Tested</x:v>
      </x:c>
      <x:c r="L35" s="54"/>
      <x:c r="M35" s="63"/>
      <x:c r="N35" s="54"/>
      <x:c r="O35"/>
    </x:row>
    <x:row r="36" ht="76" customHeight="1">
      <x:c r="A36" s="62" t="str">
        <x:v>QC-031</x:v>
      </x:c>
      <x:c r="B36" s="62" t="str">
        <x:v>Rewards</x:v>
      </x:c>
      <x:c r="C36" s="62" t="str">
        <x:v>Reject cross-business reward operations</x:v>
      </x:c>
      <x:c r="D36" s="62" t="str">
        <x:v>High</x:v>
      </x:c>
      <x:c r="E36" s="62" t="str">
        <x:v>Business owner</x:v>
      </x:c>
      <x:c r="F36" s="62" t="str">
        <x:v>Owner A signed in; Business B claim exists.</x:v>
      </x:c>
      <x:c r="G36" s="62" t="str">
        <x:v>Business B claim ID</x:v>
      </x:c>
      <x:c r="H36" s="62" t="str">
        <x:v>1. Attempt redeem B claim using modified request.
2. Attempt undo B claim.</x:v>
      </x:c>
      <x:c r="I36" s="62" t="str">
        <x:v>Both operations are denied; foreign claim stays unchanged.</x:v>
      </x:c>
      <x:c r="J36" s="54"/>
      <x:c r="K36" s="54" t="str">
        <x:v>Not Tested</x:v>
      </x:c>
      <x:c r="L36" s="54"/>
      <x:c r="M36" s="63"/>
      <x:c r="N36" s="54"/>
      <x:c r="O36"/>
    </x:row>
    <x:row r="37" ht="76" customHeight="1">
      <x:c r="A37" s="64" t="str">
        <x:v>QC-032</x:v>
      </x:c>
      <x:c r="B37" s="64" t="str">
        <x:v>Perk Claims</x:v>
      </x:c>
      <x:c r="C37" s="64" t="str">
        <x:v>Search statistics and status filters agree</x:v>
      </x:c>
      <x:c r="D37" s="64" t="str">
        <x:v>Medium</x:v>
      </x:c>
      <x:c r="E37" s="64" t="str">
        <x:v>Business owner</x:v>
      </x:c>
      <x:c r="F37" s="64" t="str">
        <x:v>Two customers with different available/redeemed claims.</x:v>
      </x:c>
      <x:c r="G37" s="64" t="str">
        <x:v>Customer A1 search; available/redeemed filters</x:v>
      </x:c>
      <x:c r="H37" s="64" t="str">
        <x:v>1. Search A1.
2. Compare totals to all A1 matching claims.
3. Apply each status filter and review rows.</x:v>
      </x:c>
      <x:c r="I37" s="64" t="str">
        <x:v>Statistics reflect searched customer; status-filtered rows match selected state.</x:v>
      </x:c>
      <x:c r="J37" s="54"/>
      <x:c r="K37" s="54" t="str">
        <x:v>Not Tested</x:v>
      </x:c>
      <x:c r="L37" s="54"/>
      <x:c r="M37" s="63"/>
      <x:c r="N37" s="54"/>
      <x:c r="O37"/>
    </x:row>
    <x:row r="38" ht="76" customHeight="1">
      <x:c r="A38" s="62" t="str">
        <x:v>QC-033</x:v>
      </x:c>
      <x:c r="B38" s="62" t="str">
        <x:v>Staff Workspace</x:v>
      </x:c>
      <x:c r="C38" s="62" t="str">
        <x:v>Paginate codes and rewards independently</x:v>
      </x:c>
      <x:c r="D38" s="62" t="str">
        <x:v>Medium</x:v>
      </x:c>
      <x:c r="E38" s="62" t="str">
        <x:v>Staff</x:v>
      </x:c>
      <x:c r="F38" s="62" t="str">
        <x:v>At least 11 staff codes and 11 business claims exist.</x:v>
      </x:c>
      <x:c r="G38" s="62" t="str">
        <x:v>Page 1 and page 2 of each tab</x:v>
      </x:c>
      <x:c r="H38" s="62" t="str">
        <x:v>1. View code page 1 then 2.
2. View rewards page 1 then 2.
3. Switch tabs and compare record IDs.</x:v>
      </x:c>
      <x:c r="I38" s="62" t="str">
        <x:v>At most 10 items per page; remaining items reachable without missing/duplicate entries.</x:v>
      </x:c>
      <x:c r="J38" s="54"/>
      <x:c r="K38" s="54" t="str">
        <x:v>Not Tested</x:v>
      </x:c>
      <x:c r="L38" s="54"/>
      <x:c r="M38" s="63"/>
      <x:c r="N38" s="54"/>
      <x:c r="O38"/>
    </x:row>
    <x:row r="39" ht="76" customHeight="1">
      <x:c r="A39" s="64" t="str">
        <x:v>QC-034</x:v>
      </x:c>
      <x:c r="B39" s="64" t="str">
        <x:v>Feedback</x:v>
      </x:c>
      <x:c r="C39" s="64" t="str">
        <x:v>Reject invalid and other-customer ratings</x:v>
      </x:c>
      <x:c r="D39" s="64" t="str">
        <x:v>High</x:v>
      </x:c>
      <x:c r="E39" s="64" t="str">
        <x:v>Customer</x:v>
      </x:c>
      <x:c r="F39" s="64" t="str">
        <x:v>A1 and A2 stamps exist.</x:v>
      </x:c>
      <x:c r="G39" s="64" t="str">
        <x:v>A2 stamp ID; rating outside allowed values</x:v>
      </x:c>
      <x:c r="H39" s="64" t="str">
        <x:v>1. As A1 attempt rating A2 stamp.
2. Submit invalid rating for A1 stamp.</x:v>
      </x:c>
      <x:c r="I39" s="64" t="str">
        <x:v>Both requests are rejected; no unauthorized/invalid rating is saved.</x:v>
      </x:c>
      <x:c r="J39" s="54"/>
      <x:c r="K39" s="54" t="str">
        <x:v>Not Tested</x:v>
      </x:c>
      <x:c r="L39" s="54"/>
      <x:c r="M39" s="63"/>
      <x:c r="N39" s="54"/>
      <x:c r="O39"/>
    </x:row>
    <x:row r="40" ht="76" customHeight="1">
      <x:c r="A40" s="62" t="str">
        <x:v>QC-035</x:v>
      </x:c>
      <x:c r="B40" s="62" t="str">
        <x:v>Feedback</x:v>
      </x:c>
      <x:c r="C40" s="62" t="str">
        <x:v>Dismiss prompt and rate completed-card stamp</x:v>
      </x:c>
      <x:c r="D40" s="62" t="str">
        <x:v>Medium</x:v>
      </x:c>
      <x:c r="E40" s="62" t="str">
        <x:v>Customer</x:v>
      </x:c>
      <x:c r="F40" s="62" t="str">
        <x:v>Unrated stamp; customer one stamp from completion.</x:v>
      </x:c>
      <x:c r="G40" s="62" t="str">
        <x:v>Dismiss action; final stamp</x:v>
      </x:c>
      <x:c r="H40" s="62" t="str">
        <x:v>1. Dismiss pending prompt and reload.
2. Complete card.
3. Rate its final stamp.</x:v>
      </x:c>
      <x:c r="I40" s="62" t="str">
        <x:v>Dismissed prompt stays handled; completed-card stamp remains rateable.</x:v>
      </x:c>
      <x:c r="J40" s="54"/>
      <x:c r="K40" s="54" t="str">
        <x:v>Not Tested</x:v>
      </x:c>
      <x:c r="L40" s="54"/>
      <x:c r="M40" s="63"/>
      <x:c r="N40" s="54"/>
      <x:c r="O40"/>
    </x:row>
    <x:row r="41" ht="76" customHeight="1">
      <x:c r="A41" s="64" t="str">
        <x:v>QC-036</x:v>
      </x:c>
      <x:c r="B41" s="64" t="str">
        <x:v>Customer Data</x:v>
      </x:c>
      <x:c r="C41" s="64" t="str">
        <x:v>Scope customer lists and details to business</x:v>
      </x:c>
      <x:c r="D41" s="64" t="str">
        <x:v>High</x:v>
      </x:c>
      <x:c r="E41" s="64" t="str">
        <x:v>Business owner</x:v>
      </x:c>
      <x:c r="F41" s="64" t="str">
        <x:v>Customer A1 and foreign Customer B1 exist.</x:v>
      </x:c>
      <x:c r="G41" s="64" t="str">
        <x:v>B1 name/email and detail ID</x:v>
      </x:c>
      <x:c r="H41" s="64" t="str">
        <x:v>1. Search B1 as Owner A.
2. Attempt opening B1 details directly.</x:v>
      </x:c>
      <x:c r="I41" s="64" t="str">
        <x:v>Foreign customer is not exposed; direct access is denied.</x:v>
      </x:c>
      <x:c r="J41" s="54"/>
      <x:c r="K41" s="54" t="str">
        <x:v>Not Tested</x:v>
      </x:c>
      <x:c r="L41" s="54"/>
      <x:c r="M41" s="63"/>
      <x:c r="N41" s="54"/>
      <x:c r="O41"/>
    </x:row>
    <x:row r="42" ht="86" customHeight="1">
      <x:c r="A42" s="62" t="str">
        <x:v>QC-037</x:v>
      </x:c>
      <x:c r="B42" s="62" t="str">
        <x:v>Exports</x:v>
      </x:c>
      <x:c r="C42" s="62" t="str">
        <x:v>Apply export filters and business scope</x:v>
      </x:c>
      <x:c r="D42" s="62" t="str">
        <x:v>Medium</x:v>
      </x:c>
      <x:c r="E42" s="62" t="str">
        <x:v>Business owner</x:v>
      </x:c>
      <x:c r="F42" s="62" t="str">
        <x:v>Business A and B records; known matching filter set.</x:v>
      </x:c>
      <x:c r="G42" s="62" t="str">
        <x:v>Card, branch, status and date range</x:v>
      </x:c>
      <x:c r="H42" s="62" t="str">
        <x:v>1. Apply filters in Stamp Codes.
2. Export.
3. Compare exported IDs to expected records across all matching pages.</x:v>
      </x:c>
      <x:c r="I42" s="62" t="str">
        <x:v>All and only matching Business A rows are exported.</x:v>
      </x:c>
      <x:c r="J42" s="54"/>
      <x:c r="K42" s="54" t="str">
        <x:v>Not Tested</x:v>
      </x:c>
      <x:c r="L42" s="54"/>
      <x:c r="M42" s="63"/>
      <x:c r="N42" s="54"/>
      <x:c r="O42"/>
    </x:row>
    <x:row r="43" ht="86" customHeight="1">
      <x:c r="A43" s="64" t="str">
        <x:v>QC-038</x:v>
      </x:c>
      <x:c r="B43" s="64" t="str">
        <x:v>Support</x:v>
      </x:c>
      <x:c r="C43" s="64" t="str">
        <x:v>Restrict ticket access and validate content</x:v>
      </x:c>
      <x:c r="D43" s="64" t="str">
        <x:v>High</x:v>
      </x:c>
      <x:c r="E43" s="64" t="str">
        <x:v>Business owner</x:v>
      </x:c>
      <x:c r="F43" s="64" t="str">
        <x:v>Owner A signed in; Business B ticket exists.</x:v>
      </x:c>
      <x:c r="G43" s="64" t="str">
        <x:v>Blank required fields; Business B ticket ID</x:v>
      </x:c>
      <x:c r="H43" s="64" t="str">
        <x:v>1. Submit a ticket with required fields blank.
2. Attempt opening B ticket.
3. Attempt replying to B ticket.</x:v>
      </x:c>
      <x:c r="I43" s="64" t="str">
        <x:v>Invalid ticket is rejected; foreign ticket and replies remain inaccessible.</x:v>
      </x:c>
      <x:c r="J43" s="54"/>
      <x:c r="K43" s="54" t="str">
        <x:v>Not Tested</x:v>
      </x:c>
      <x:c r="L43" s="54"/>
      <x:c r="M43" s="63"/>
      <x:c r="N43" s="54"/>
      <x:c r="O43"/>
    </x:row>
    <x:row r="44" ht="76" customHeight="1">
      <x:c r="A44" s="62" t="str">
        <x:v>QC-039</x:v>
      </x:c>
      <x:c r="B44" s="62" t="str">
        <x:v>Usability</x:v>
      </x:c>
      <x:c r="C44" s="62" t="str">
        <x:v>Complete core flow on desktop and mobile</x:v>
      </x:c>
      <x:c r="D44" s="62" t="str">
        <x:v>Medium</x:v>
      </x:c>
      <x:c r="E44" s="62" t="str">
        <x:v>Customer + Staff</x:v>
      </x:c>
      <x:c r="F44" s="62" t="str">
        <x:v>Agreed target browsers/devices; camera permission available.</x:v>
      </x:c>
      <x:c r="G44" s="62" t="str">
        <x:v>Actual browser/OS/device recorded in evidence</x:v>
      </x:c>
      <x:c r="H44" s="62" t="str">
        <x:v>1. On each agreed device log in.
2. Scan customer QR and issue a stamp.
3. View progress and redeem reward.
4. Check validation and navigation.</x:v>
      </x:c>
      <x:c r="I44" s="62" t="str">
        <x:v>Core controls remain readable/reachable; no clipped blocking content; scanning and workflows work.</x:v>
      </x:c>
      <x:c r="J44" s="54"/>
      <x:c r="K44" s="54" t="str">
        <x:v>Not Tested</x:v>
      </x:c>
      <x:c r="L44" s="54"/>
      <x:c r="M44" s="63"/>
      <x:c r="N44" s="54"/>
      <x:c r="O44"/>
    </x:row>
  </x:sheetData>
  <x:conditionalFormatting sqref="K6:K44">
    <x:cfRule type="containsText" dxfId="21" priority="1" operator="containsText" text="Pass"/>
    <x:cfRule type="containsText" dxfId="22" priority="2" operator="containsText" text="Fail"/>
    <x:cfRule type="containsText" dxfId="23" priority="3" operator="containsText" text="Blocked"/>
  </x:conditionalFormatting>
  <x:dataValidations count="1">
    <x:dataValidation type="list" sqref="K6:K44">
      <x:formula1>"Not Tested,Pass,Fail,Blocked,Not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339f85e353456d"/>
  </x:tableParts>
</x:worksheet>
</file>

<file path=xl/worksheets/sheet4.xml><?xml version="1.0" encoding="utf-8"?>
<x:worksheet xmlns:x="http://schemas.openxmlformats.org/spreadsheetml/2006/main">
  <x:sheetPr>
    <x:tabColor rgb="FFF23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35" hidden="0" customWidth="1"/>
    <x:col min="4" max="4" width="16" hidden="0" customWidth="1"/>
    <x:col min="5" max="5" width="55" hidden="0" customWidth="1"/>
    <x:col min="6" max="6" width="45" hidden="0" customWidth="1"/>
    <x:col min="7" max="7" width="45" hidden="0" customWidth="1"/>
    <x:col min="8" max="8" width="40" hidden="0" customWidth="1"/>
    <x:col min="9" max="9" width="23" hidden="0" customWidth="1"/>
    <x:col min="10" max="10" width="20" hidden="0" customWidth="1"/>
    <x:col min="11" max="11" width="22" hidden="0" customWidth="1"/>
    <x:col min="12" max="12" width="55" hidden="0" customWidth="1"/>
  </x:cols>
  <x:sheetData>
    <x:row r="1">
      <x:c r="A1" s="50"/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</x:row>
    <x:row r="2" ht="27" customHeight="1">
      <x:c r="A2" s="51" t="str">
        <x:v>Bigoli | Defect &amp; retest log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</x:row>
    <x:row r="4">
      <x:c r="A4" s="50"/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</x:row>
    <x:row r="5" ht="32" customHeight="1">
      <x:c r="A5" s="56" t="str">
        <x:v>Defect ID</x:v>
      </x:c>
      <x:c r="B5" s="56" t="str">
        <x:v>Test IDs</x:v>
      </x:c>
      <x:c r="C5" s="56" t="str">
        <x:v>Title</x:v>
      </x:c>
      <x:c r="D5" s="56" t="str">
        <x:v>Severity</x:v>
      </x:c>
      <x:c r="E5" s="56" t="str">
        <x:v>Steps / data</x:v>
      </x:c>
      <x:c r="F5" s="56" t="str">
        <x:v>Expected</x:v>
      </x:c>
      <x:c r="G5" s="56" t="str">
        <x:v>Actual</x:v>
      </x:c>
      <x:c r="H5" s="56" t="str">
        <x:v>Evidence link</x:v>
      </x:c>
      <x:c r="I5" s="56" t="str">
        <x:v>Owner</x:v>
      </x:c>
      <x:c r="J5" s="56" t="str">
        <x:v>State</x:v>
      </x:c>
      <x:c r="K5" s="56" t="str">
        <x:v>Fix build</x:v>
      </x:c>
      <x:c r="L5" s="56" t="str">
        <x:v>Retest result / date / notes</x:v>
      </x:c>
    </x:row>
    <x:row r="6" ht="150" customHeight="1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</x:row>
    <x:row r="7" ht="150" customHeight="1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</x:row>
    <x:row r="8" ht="150" customHeight="1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</x:row>
    <x:row r="9" ht="65" customHeight="1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</x:row>
    <x:row r="10" ht="65" customHeight="1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</x:row>
    <x:row r="11" ht="65" customHeight="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</x:row>
    <x:row r="12" ht="65" customHeight="1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</x:row>
    <x:row r="13" ht="65" customHeight="1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</x:row>
    <x:row r="14" ht="65" customHeight="1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</x:row>
    <x:row r="15" ht="65" customHeight="1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</x:row>
    <x:row r="16" ht="65" customHeight="1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</x:row>
    <x:row r="17" ht="65" customHeight="1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</x:row>
    <x:row r="18" ht="65" customHeight="1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</x:row>
    <x:row r="19" ht="65" customHeight="1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</x:row>
    <x:row r="20" ht="65" customHeight="1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</x:row>
    <x:row r="21" ht="65" customHeight="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</x:row>
    <x:row r="22" ht="65" customHeight="1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</x:row>
    <x:row r="23" ht="65" customHeight="1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</x:row>
    <x:row r="24" ht="65" customHeight="1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</x:row>
    <x:row r="25" ht="65" customHeight="1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</x:row>
  </x:sheetData>
  <x:dataValidations count="2">
    <x:dataValidation type="list" sqref="D6:D25">
      <x:formula1>"Critical,High,Medium,Low"</x:formula1>
    </x:dataValidation>
    <x:dataValidation type="list" sqref="J6:J25">
      <x:formula1>"Open,In Progress,Ready for Retest,Closed,Deferred"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86cf019fc64d31"/>
  </x:tableParts>
</x:worksheet>
</file>